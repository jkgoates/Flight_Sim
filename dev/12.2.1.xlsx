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eremiah Goates\git-repos\Flight_Sim\dev\"/>
    </mc:Choice>
  </mc:AlternateContent>
  <xr:revisionPtr revIDLastSave="0" documentId="13_ncr:1_{408C2F40-455A-48BE-AEE1-3C5C6CDF921B}" xr6:coauthVersionLast="47" xr6:coauthVersionMax="47" xr10:uidLastSave="{00000000-0000-0000-0000-000000000000}"/>
  <bookViews>
    <workbookView xWindow="-120" yWindow="-120" windowWidth="38640" windowHeight="21240" xr2:uid="{449B0D0B-F1CC-44A4-9497-F7B37413503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7" i="1" l="1"/>
  <c r="W7" i="1"/>
  <c r="W6" i="1"/>
  <c r="AA6" i="1" s="1"/>
  <c r="O6" i="1" s="1"/>
  <c r="S6" i="1" s="1"/>
  <c r="P7" i="1" s="1"/>
  <c r="Z6" i="1"/>
  <c r="Y6" i="1"/>
  <c r="V6" i="1"/>
  <c r="U6" i="1"/>
  <c r="U7" i="1" s="1"/>
  <c r="U8" i="1" s="1"/>
  <c r="U9" i="1" s="1"/>
  <c r="U10" i="1" s="1"/>
  <c r="U11" i="1" s="1"/>
  <c r="U12" i="1" s="1"/>
  <c r="U13" i="1" s="1"/>
  <c r="U14" i="1" s="1"/>
  <c r="U15" i="1" s="1"/>
  <c r="U16" i="1" s="1"/>
  <c r="U17" i="1" s="1"/>
  <c r="U18" i="1" s="1"/>
  <c r="U19" i="1" s="1"/>
  <c r="U20" i="1" s="1"/>
  <c r="U21" i="1" s="1"/>
  <c r="U22" i="1" s="1"/>
  <c r="U23" i="1" s="1"/>
  <c r="U24" i="1" s="1"/>
  <c r="U25" i="1" s="1"/>
  <c r="U26" i="1" s="1"/>
  <c r="U27" i="1" s="1"/>
  <c r="U28" i="1" s="1"/>
  <c r="U29" i="1" s="1"/>
  <c r="U30" i="1" s="1"/>
  <c r="U31" i="1" s="1"/>
  <c r="U32" i="1" s="1"/>
  <c r="U33" i="1" s="1"/>
  <c r="U34" i="1" s="1"/>
  <c r="U35" i="1" s="1"/>
  <c r="U36" i="1" s="1"/>
  <c r="U37" i="1" s="1"/>
  <c r="U38" i="1" s="1"/>
  <c r="U39" i="1" s="1"/>
  <c r="U40" i="1" s="1"/>
  <c r="U41" i="1" s="1"/>
  <c r="U42" i="1" s="1"/>
  <c r="U43" i="1" s="1"/>
  <c r="U44" i="1" s="1"/>
  <c r="U45" i="1" s="1"/>
  <c r="U46" i="1" s="1"/>
  <c r="U47" i="1" s="1"/>
  <c r="U48" i="1" s="1"/>
  <c r="U49" i="1" s="1"/>
  <c r="U50" i="1" s="1"/>
  <c r="U51" i="1" s="1"/>
  <c r="U52" i="1" s="1"/>
  <c r="U53" i="1" s="1"/>
  <c r="U54" i="1" s="1"/>
  <c r="U55" i="1" s="1"/>
  <c r="U56" i="1" s="1"/>
  <c r="U57" i="1" s="1"/>
  <c r="U58" i="1" s="1"/>
  <c r="U59" i="1" s="1"/>
  <c r="U60" i="1" s="1"/>
  <c r="U61" i="1" s="1"/>
  <c r="U62" i="1" s="1"/>
  <c r="U63" i="1" s="1"/>
  <c r="U64" i="1" s="1"/>
  <c r="U65" i="1" s="1"/>
  <c r="U66" i="1" s="1"/>
  <c r="U67" i="1" s="1"/>
  <c r="U68" i="1" s="1"/>
  <c r="U69" i="1" s="1"/>
  <c r="U70" i="1" s="1"/>
  <c r="U71" i="1" s="1"/>
  <c r="U72" i="1" s="1"/>
  <c r="U73" i="1" s="1"/>
  <c r="U74" i="1" s="1"/>
  <c r="U75" i="1" s="1"/>
  <c r="U76" i="1" s="1"/>
  <c r="U77" i="1" s="1"/>
  <c r="U78" i="1" s="1"/>
  <c r="U79" i="1" s="1"/>
  <c r="U80" i="1" s="1"/>
  <c r="U81" i="1" s="1"/>
  <c r="U82" i="1" s="1"/>
  <c r="U83" i="1" s="1"/>
  <c r="U84" i="1" s="1"/>
  <c r="U85" i="1" s="1"/>
  <c r="U86" i="1" s="1"/>
  <c r="U87" i="1" s="1"/>
  <c r="U88" i="1" s="1"/>
  <c r="U89" i="1" s="1"/>
  <c r="U90" i="1" s="1"/>
  <c r="U91" i="1" s="1"/>
  <c r="U92" i="1" s="1"/>
  <c r="U93" i="1" s="1"/>
  <c r="U94" i="1" s="1"/>
  <c r="U95" i="1" s="1"/>
  <c r="U96" i="1" s="1"/>
  <c r="U97" i="1" s="1"/>
  <c r="U98" i="1" s="1"/>
  <c r="U99" i="1" s="1"/>
  <c r="U100" i="1" s="1"/>
  <c r="U101" i="1" s="1"/>
  <c r="U102" i="1" s="1"/>
  <c r="U103" i="1" s="1"/>
  <c r="U104" i="1" s="1"/>
  <c r="U105" i="1" s="1"/>
  <c r="U106" i="1" s="1"/>
  <c r="U107" i="1" s="1"/>
  <c r="U108" i="1" s="1"/>
  <c r="U109" i="1" s="1"/>
  <c r="U110" i="1" s="1"/>
  <c r="U111" i="1" s="1"/>
  <c r="U112" i="1" s="1"/>
  <c r="U113" i="1" s="1"/>
  <c r="U114" i="1" s="1"/>
  <c r="U115" i="1" s="1"/>
  <c r="U116" i="1" s="1"/>
  <c r="U117" i="1" s="1"/>
  <c r="U118" i="1" s="1"/>
  <c r="U119" i="1" s="1"/>
  <c r="U120" i="1" s="1"/>
  <c r="U121" i="1" s="1"/>
  <c r="U122" i="1" s="1"/>
  <c r="U123" i="1" s="1"/>
  <c r="U124" i="1" s="1"/>
  <c r="U125" i="1" s="1"/>
  <c r="U126" i="1" s="1"/>
  <c r="U127" i="1" s="1"/>
  <c r="U128" i="1" s="1"/>
  <c r="U129" i="1" s="1"/>
  <c r="U130" i="1" s="1"/>
  <c r="U131" i="1" s="1"/>
  <c r="U132" i="1" s="1"/>
  <c r="U133" i="1" s="1"/>
  <c r="U134" i="1" s="1"/>
  <c r="U135" i="1" s="1"/>
  <c r="U136" i="1" s="1"/>
  <c r="U137" i="1" s="1"/>
  <c r="U138" i="1" s="1"/>
  <c r="U139" i="1" s="1"/>
  <c r="U140" i="1" s="1"/>
  <c r="U141" i="1" s="1"/>
  <c r="U142" i="1" s="1"/>
  <c r="U143" i="1" s="1"/>
  <c r="U144" i="1" s="1"/>
  <c r="U145" i="1" s="1"/>
  <c r="U146" i="1" s="1"/>
  <c r="U147" i="1" s="1"/>
  <c r="U148" i="1" s="1"/>
  <c r="U149" i="1" s="1"/>
  <c r="U150" i="1" s="1"/>
  <c r="U151" i="1" s="1"/>
  <c r="U152" i="1" s="1"/>
  <c r="U153" i="1" s="1"/>
  <c r="U154" i="1" s="1"/>
  <c r="U155" i="1" s="1"/>
  <c r="U156" i="1" s="1"/>
  <c r="U157" i="1" s="1"/>
  <c r="U158" i="1" s="1"/>
  <c r="U159" i="1" s="1"/>
  <c r="U160" i="1" s="1"/>
  <c r="U161" i="1" s="1"/>
  <c r="U162" i="1" s="1"/>
  <c r="U163" i="1" s="1"/>
  <c r="U164" i="1" s="1"/>
  <c r="U165" i="1" s="1"/>
  <c r="U166" i="1" s="1"/>
  <c r="U167" i="1" s="1"/>
  <c r="U168" i="1" s="1"/>
  <c r="U169" i="1" s="1"/>
  <c r="U170" i="1" s="1"/>
  <c r="U171" i="1" s="1"/>
  <c r="U172" i="1" s="1"/>
  <c r="U173" i="1" s="1"/>
  <c r="U174" i="1" s="1"/>
  <c r="U175" i="1" s="1"/>
  <c r="U176" i="1" s="1"/>
  <c r="U177" i="1" s="1"/>
  <c r="U178" i="1" s="1"/>
  <c r="U179" i="1" s="1"/>
  <c r="U180" i="1" s="1"/>
  <c r="U181" i="1" s="1"/>
  <c r="U182" i="1" s="1"/>
  <c r="U183" i="1" s="1"/>
  <c r="U184" i="1" s="1"/>
  <c r="U185" i="1" s="1"/>
  <c r="U186" i="1" s="1"/>
  <c r="U187" i="1" s="1"/>
  <c r="U188" i="1" s="1"/>
  <c r="U189" i="1" s="1"/>
  <c r="U190" i="1" s="1"/>
  <c r="U191" i="1" s="1"/>
  <c r="U192" i="1" s="1"/>
  <c r="U193" i="1" s="1"/>
  <c r="U194" i="1" s="1"/>
  <c r="U195" i="1" s="1"/>
  <c r="U196" i="1" s="1"/>
  <c r="U197" i="1" s="1"/>
  <c r="U198" i="1" s="1"/>
  <c r="U199" i="1" s="1"/>
  <c r="U200" i="1" s="1"/>
  <c r="U201" i="1" s="1"/>
  <c r="U202" i="1" s="1"/>
  <c r="U203" i="1" s="1"/>
  <c r="U204" i="1" s="1"/>
  <c r="U205" i="1" s="1"/>
  <c r="U206" i="1" s="1"/>
  <c r="U207" i="1" s="1"/>
  <c r="U208" i="1" s="1"/>
  <c r="U209" i="1" s="1"/>
  <c r="U210" i="1" s="1"/>
  <c r="U211" i="1" s="1"/>
  <c r="U212" i="1" s="1"/>
  <c r="U213" i="1" s="1"/>
  <c r="U214" i="1" s="1"/>
  <c r="U215" i="1" s="1"/>
  <c r="U216" i="1" s="1"/>
  <c r="U217" i="1" s="1"/>
  <c r="U218" i="1" s="1"/>
  <c r="U219" i="1" s="1"/>
  <c r="U220" i="1" s="1"/>
  <c r="U221" i="1" s="1"/>
  <c r="U222" i="1" s="1"/>
  <c r="U223" i="1" s="1"/>
  <c r="U224" i="1" s="1"/>
  <c r="U225" i="1" s="1"/>
  <c r="U226" i="1" s="1"/>
  <c r="U227" i="1" s="1"/>
  <c r="U228" i="1" s="1"/>
  <c r="U229" i="1" s="1"/>
  <c r="U230" i="1" s="1"/>
  <c r="U231" i="1" s="1"/>
  <c r="U232" i="1" s="1"/>
  <c r="U233" i="1" s="1"/>
  <c r="U234" i="1" s="1"/>
  <c r="U235" i="1" s="1"/>
  <c r="U236" i="1" s="1"/>
  <c r="U237" i="1" s="1"/>
  <c r="U238" i="1" s="1"/>
  <c r="U239" i="1" s="1"/>
  <c r="U240" i="1" s="1"/>
  <c r="U241" i="1" s="1"/>
  <c r="U242" i="1" s="1"/>
  <c r="U243" i="1" s="1"/>
  <c r="U244" i="1" s="1"/>
  <c r="U245" i="1" s="1"/>
  <c r="U246" i="1" s="1"/>
  <c r="U247" i="1" s="1"/>
  <c r="U248" i="1" s="1"/>
  <c r="U249" i="1" s="1"/>
  <c r="U250" i="1" s="1"/>
  <c r="U251" i="1" s="1"/>
  <c r="U252" i="1" s="1"/>
  <c r="U253" i="1" s="1"/>
  <c r="U254" i="1" s="1"/>
  <c r="U255" i="1" s="1"/>
  <c r="U256" i="1" s="1"/>
  <c r="U257" i="1" s="1"/>
  <c r="U258" i="1" s="1"/>
  <c r="U259" i="1" s="1"/>
  <c r="U260" i="1" s="1"/>
  <c r="U261" i="1" s="1"/>
  <c r="U262" i="1" s="1"/>
  <c r="U263" i="1" s="1"/>
  <c r="U264" i="1" s="1"/>
  <c r="U265" i="1" s="1"/>
  <c r="U266" i="1" s="1"/>
  <c r="U267" i="1" s="1"/>
  <c r="U268" i="1" s="1"/>
  <c r="U269" i="1" s="1"/>
  <c r="U270" i="1" s="1"/>
  <c r="U271" i="1" s="1"/>
  <c r="U272" i="1" s="1"/>
  <c r="U273" i="1" s="1"/>
  <c r="U274" i="1" s="1"/>
  <c r="U275" i="1" s="1"/>
  <c r="U276" i="1" s="1"/>
  <c r="U277" i="1" s="1"/>
  <c r="U278" i="1" s="1"/>
  <c r="U279" i="1" s="1"/>
  <c r="U280" i="1" s="1"/>
  <c r="U281" i="1" s="1"/>
  <c r="U282" i="1" s="1"/>
  <c r="U283" i="1" s="1"/>
  <c r="U284" i="1" s="1"/>
  <c r="U285" i="1" s="1"/>
  <c r="U286" i="1" s="1"/>
  <c r="U287" i="1" s="1"/>
  <c r="U288" i="1" s="1"/>
  <c r="U289" i="1" s="1"/>
  <c r="U290" i="1" s="1"/>
  <c r="U291" i="1" s="1"/>
  <c r="U292" i="1" s="1"/>
  <c r="U293" i="1" s="1"/>
  <c r="U294" i="1" s="1"/>
  <c r="U295" i="1" s="1"/>
  <c r="U296" i="1" s="1"/>
  <c r="U297" i="1" s="1"/>
  <c r="U298" i="1" s="1"/>
  <c r="U299" i="1" s="1"/>
  <c r="U300" i="1" s="1"/>
  <c r="U301" i="1" s="1"/>
  <c r="U302" i="1" s="1"/>
  <c r="U303" i="1" s="1"/>
  <c r="U304" i="1" s="1"/>
  <c r="U305" i="1" s="1"/>
  <c r="U306" i="1" s="1"/>
  <c r="N6" i="1"/>
  <c r="Q6" i="1"/>
  <c r="M6" i="1"/>
  <c r="M7" i="1" s="1"/>
  <c r="M8" i="1" s="1"/>
  <c r="M9" i="1" s="1"/>
  <c r="M10" i="1" s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M52" i="1" s="1"/>
  <c r="M53" i="1" s="1"/>
  <c r="M54" i="1" s="1"/>
  <c r="M55" i="1" s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M73" i="1" s="1"/>
  <c r="M74" i="1" s="1"/>
  <c r="M75" i="1" s="1"/>
  <c r="M76" i="1" s="1"/>
  <c r="M77" i="1" s="1"/>
  <c r="M78" i="1" s="1"/>
  <c r="M79" i="1" s="1"/>
  <c r="M80" i="1" s="1"/>
  <c r="M81" i="1" s="1"/>
  <c r="M82" i="1" s="1"/>
  <c r="M83" i="1" s="1"/>
  <c r="M84" i="1" s="1"/>
  <c r="M85" i="1" s="1"/>
  <c r="M86" i="1" s="1"/>
  <c r="M87" i="1" s="1"/>
  <c r="M88" i="1" s="1"/>
  <c r="M89" i="1" s="1"/>
  <c r="M90" i="1" s="1"/>
  <c r="M91" i="1" s="1"/>
  <c r="M92" i="1" s="1"/>
  <c r="M93" i="1" s="1"/>
  <c r="M94" i="1" s="1"/>
  <c r="M95" i="1" s="1"/>
  <c r="M96" i="1" s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M115" i="1" s="1"/>
  <c r="M116" i="1" s="1"/>
  <c r="M117" i="1" s="1"/>
  <c r="M118" i="1" s="1"/>
  <c r="M119" i="1" s="1"/>
  <c r="M120" i="1" s="1"/>
  <c r="M121" i="1" s="1"/>
  <c r="M122" i="1" s="1"/>
  <c r="M123" i="1" s="1"/>
  <c r="M124" i="1" s="1"/>
  <c r="M125" i="1" s="1"/>
  <c r="M126" i="1" s="1"/>
  <c r="M127" i="1" s="1"/>
  <c r="M128" i="1" s="1"/>
  <c r="M129" i="1" s="1"/>
  <c r="M130" i="1" s="1"/>
  <c r="M131" i="1" s="1"/>
  <c r="M132" i="1" s="1"/>
  <c r="M133" i="1" s="1"/>
  <c r="M134" i="1" s="1"/>
  <c r="M135" i="1" s="1"/>
  <c r="M136" i="1" s="1"/>
  <c r="M137" i="1" s="1"/>
  <c r="M138" i="1" s="1"/>
  <c r="M139" i="1" s="1"/>
  <c r="M140" i="1" s="1"/>
  <c r="M141" i="1" s="1"/>
  <c r="M142" i="1" s="1"/>
  <c r="M143" i="1" s="1"/>
  <c r="M144" i="1" s="1"/>
  <c r="M145" i="1" s="1"/>
  <c r="M146" i="1" s="1"/>
  <c r="M147" i="1" s="1"/>
  <c r="M148" i="1" s="1"/>
  <c r="M149" i="1" s="1"/>
  <c r="M150" i="1" s="1"/>
  <c r="M151" i="1" s="1"/>
  <c r="M152" i="1" s="1"/>
  <c r="M153" i="1" s="1"/>
  <c r="M154" i="1" s="1"/>
  <c r="M155" i="1" s="1"/>
  <c r="M156" i="1" s="1"/>
  <c r="M157" i="1" s="1"/>
  <c r="M158" i="1" s="1"/>
  <c r="M159" i="1" s="1"/>
  <c r="M160" i="1" s="1"/>
  <c r="M161" i="1" s="1"/>
  <c r="M162" i="1" s="1"/>
  <c r="M163" i="1" s="1"/>
  <c r="M164" i="1" s="1"/>
  <c r="M165" i="1" s="1"/>
  <c r="M166" i="1" s="1"/>
  <c r="M167" i="1" s="1"/>
  <c r="M168" i="1" s="1"/>
  <c r="M169" i="1" s="1"/>
  <c r="M170" i="1" s="1"/>
  <c r="M171" i="1" s="1"/>
  <c r="M172" i="1" s="1"/>
  <c r="M173" i="1" s="1"/>
  <c r="M174" i="1" s="1"/>
  <c r="M175" i="1" s="1"/>
  <c r="M176" i="1" s="1"/>
  <c r="M177" i="1" s="1"/>
  <c r="M178" i="1" s="1"/>
  <c r="M179" i="1" s="1"/>
  <c r="M180" i="1" s="1"/>
  <c r="M181" i="1" s="1"/>
  <c r="M182" i="1" s="1"/>
  <c r="M183" i="1" s="1"/>
  <c r="M184" i="1" s="1"/>
  <c r="M185" i="1" s="1"/>
  <c r="M186" i="1" s="1"/>
  <c r="M187" i="1" s="1"/>
  <c r="M188" i="1" s="1"/>
  <c r="M189" i="1" s="1"/>
  <c r="M190" i="1" s="1"/>
  <c r="M191" i="1" s="1"/>
  <c r="M192" i="1" s="1"/>
  <c r="M193" i="1" s="1"/>
  <c r="M194" i="1" s="1"/>
  <c r="M195" i="1" s="1"/>
  <c r="M196" i="1" s="1"/>
  <c r="M197" i="1" s="1"/>
  <c r="M198" i="1" s="1"/>
  <c r="M199" i="1" s="1"/>
  <c r="M200" i="1" s="1"/>
  <c r="M201" i="1" s="1"/>
  <c r="M202" i="1" s="1"/>
  <c r="M203" i="1" s="1"/>
  <c r="M204" i="1" s="1"/>
  <c r="M205" i="1" s="1"/>
  <c r="M206" i="1" s="1"/>
  <c r="M207" i="1" s="1"/>
  <c r="M208" i="1" s="1"/>
  <c r="M209" i="1" s="1"/>
  <c r="M210" i="1" s="1"/>
  <c r="M211" i="1" s="1"/>
  <c r="M212" i="1" s="1"/>
  <c r="M213" i="1" s="1"/>
  <c r="M214" i="1" s="1"/>
  <c r="M215" i="1" s="1"/>
  <c r="M216" i="1" s="1"/>
  <c r="M217" i="1" s="1"/>
  <c r="M218" i="1" s="1"/>
  <c r="M219" i="1" s="1"/>
  <c r="M220" i="1" s="1"/>
  <c r="M221" i="1" s="1"/>
  <c r="M222" i="1" s="1"/>
  <c r="M223" i="1" s="1"/>
  <c r="M224" i="1" s="1"/>
  <c r="M225" i="1" s="1"/>
  <c r="M226" i="1" s="1"/>
  <c r="M227" i="1" s="1"/>
  <c r="M228" i="1" s="1"/>
  <c r="M229" i="1" s="1"/>
  <c r="M230" i="1" s="1"/>
  <c r="M231" i="1" s="1"/>
  <c r="M232" i="1" s="1"/>
  <c r="M233" i="1" s="1"/>
  <c r="M234" i="1" s="1"/>
  <c r="M235" i="1" s="1"/>
  <c r="M236" i="1" s="1"/>
  <c r="M237" i="1" s="1"/>
  <c r="M238" i="1" s="1"/>
  <c r="M239" i="1" s="1"/>
  <c r="M240" i="1" s="1"/>
  <c r="M241" i="1" s="1"/>
  <c r="M242" i="1" s="1"/>
  <c r="M243" i="1" s="1"/>
  <c r="M244" i="1" s="1"/>
  <c r="M245" i="1" s="1"/>
  <c r="M246" i="1" s="1"/>
  <c r="M247" i="1" s="1"/>
  <c r="M248" i="1" s="1"/>
  <c r="M249" i="1" s="1"/>
  <c r="M250" i="1" s="1"/>
  <c r="M251" i="1" s="1"/>
  <c r="M252" i="1" s="1"/>
  <c r="M253" i="1" s="1"/>
  <c r="M254" i="1" s="1"/>
  <c r="M255" i="1" s="1"/>
  <c r="M256" i="1" s="1"/>
  <c r="M257" i="1" s="1"/>
  <c r="M258" i="1" s="1"/>
  <c r="M259" i="1" s="1"/>
  <c r="M260" i="1" s="1"/>
  <c r="M261" i="1" s="1"/>
  <c r="M262" i="1" s="1"/>
  <c r="M263" i="1" s="1"/>
  <c r="M264" i="1" s="1"/>
  <c r="M265" i="1" s="1"/>
  <c r="M266" i="1" s="1"/>
  <c r="M267" i="1" s="1"/>
  <c r="M268" i="1" s="1"/>
  <c r="M269" i="1" s="1"/>
  <c r="M270" i="1" s="1"/>
  <c r="M271" i="1" s="1"/>
  <c r="M272" i="1" s="1"/>
  <c r="M273" i="1" s="1"/>
  <c r="M274" i="1" s="1"/>
  <c r="M275" i="1" s="1"/>
  <c r="M276" i="1" s="1"/>
  <c r="M277" i="1" s="1"/>
  <c r="M278" i="1" s="1"/>
  <c r="M279" i="1" s="1"/>
  <c r="M280" i="1" s="1"/>
  <c r="M281" i="1" s="1"/>
  <c r="M282" i="1" s="1"/>
  <c r="M283" i="1" s="1"/>
  <c r="M284" i="1" s="1"/>
  <c r="M285" i="1" s="1"/>
  <c r="M286" i="1" s="1"/>
  <c r="M287" i="1" s="1"/>
  <c r="M288" i="1" s="1"/>
  <c r="M289" i="1" s="1"/>
  <c r="M290" i="1" s="1"/>
  <c r="M291" i="1" s="1"/>
  <c r="M292" i="1" s="1"/>
  <c r="M293" i="1" s="1"/>
  <c r="M294" i="1" s="1"/>
  <c r="M295" i="1" s="1"/>
  <c r="M296" i="1" s="1"/>
  <c r="M297" i="1" s="1"/>
  <c r="M298" i="1" s="1"/>
  <c r="M299" i="1" s="1"/>
  <c r="M300" i="1" s="1"/>
  <c r="M301" i="1" s="1"/>
  <c r="M302" i="1" s="1"/>
  <c r="M303" i="1" s="1"/>
  <c r="M304" i="1" s="1"/>
  <c r="M305" i="1" s="1"/>
  <c r="M306" i="1" s="1"/>
  <c r="K6" i="1"/>
  <c r="K7" i="1" s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K40" i="1" s="1"/>
  <c r="K41" i="1" s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K52" i="1" s="1"/>
  <c r="K53" i="1" s="1"/>
  <c r="K54" i="1" s="1"/>
  <c r="K55" i="1" s="1"/>
  <c r="K56" i="1" s="1"/>
  <c r="K57" i="1" s="1"/>
  <c r="K58" i="1" s="1"/>
  <c r="K59" i="1" s="1"/>
  <c r="K60" i="1" s="1"/>
  <c r="K61" i="1" s="1"/>
  <c r="K62" i="1" s="1"/>
  <c r="K63" i="1" s="1"/>
  <c r="K64" i="1" s="1"/>
  <c r="K65" i="1" s="1"/>
  <c r="K66" i="1" s="1"/>
  <c r="K67" i="1" s="1"/>
  <c r="K68" i="1" s="1"/>
  <c r="K69" i="1" s="1"/>
  <c r="K70" i="1" s="1"/>
  <c r="K71" i="1" s="1"/>
  <c r="K72" i="1" s="1"/>
  <c r="K73" i="1" s="1"/>
  <c r="K74" i="1" s="1"/>
  <c r="K75" i="1" s="1"/>
  <c r="K76" i="1" s="1"/>
  <c r="K77" i="1" s="1"/>
  <c r="K78" i="1" s="1"/>
  <c r="K79" i="1" s="1"/>
  <c r="K80" i="1" s="1"/>
  <c r="K81" i="1" s="1"/>
  <c r="K82" i="1" s="1"/>
  <c r="K83" i="1" s="1"/>
  <c r="K84" i="1" s="1"/>
  <c r="K85" i="1" s="1"/>
  <c r="K86" i="1" s="1"/>
  <c r="K87" i="1" s="1"/>
  <c r="K88" i="1" s="1"/>
  <c r="K89" i="1" s="1"/>
  <c r="K90" i="1" s="1"/>
  <c r="K91" i="1" s="1"/>
  <c r="K92" i="1" s="1"/>
  <c r="K93" i="1" s="1"/>
  <c r="K94" i="1" s="1"/>
  <c r="K95" i="1" s="1"/>
  <c r="K96" i="1" s="1"/>
  <c r="K97" i="1" s="1"/>
  <c r="K98" i="1" s="1"/>
  <c r="K99" i="1" s="1"/>
  <c r="K100" i="1" s="1"/>
  <c r="K101" i="1" s="1"/>
  <c r="K102" i="1" s="1"/>
  <c r="K103" i="1" s="1"/>
  <c r="K104" i="1" s="1"/>
  <c r="K105" i="1" s="1"/>
  <c r="K106" i="1" s="1"/>
  <c r="K107" i="1" s="1"/>
  <c r="K108" i="1" s="1"/>
  <c r="K109" i="1" s="1"/>
  <c r="K110" i="1" s="1"/>
  <c r="K111" i="1" s="1"/>
  <c r="K112" i="1" s="1"/>
  <c r="K113" i="1" s="1"/>
  <c r="K114" i="1" s="1"/>
  <c r="K115" i="1" s="1"/>
  <c r="K116" i="1" s="1"/>
  <c r="K117" i="1" s="1"/>
  <c r="K118" i="1" s="1"/>
  <c r="K119" i="1" s="1"/>
  <c r="K120" i="1" s="1"/>
  <c r="K121" i="1" s="1"/>
  <c r="K122" i="1" s="1"/>
  <c r="K123" i="1" s="1"/>
  <c r="K124" i="1" s="1"/>
  <c r="K125" i="1" s="1"/>
  <c r="K126" i="1" s="1"/>
  <c r="K127" i="1" s="1"/>
  <c r="K128" i="1" s="1"/>
  <c r="K129" i="1" s="1"/>
  <c r="K130" i="1" s="1"/>
  <c r="K131" i="1" s="1"/>
  <c r="K132" i="1" s="1"/>
  <c r="K133" i="1" s="1"/>
  <c r="K134" i="1" s="1"/>
  <c r="K135" i="1" s="1"/>
  <c r="K136" i="1" s="1"/>
  <c r="K137" i="1" s="1"/>
  <c r="K138" i="1" s="1"/>
  <c r="K139" i="1" s="1"/>
  <c r="K140" i="1" s="1"/>
  <c r="K141" i="1" s="1"/>
  <c r="K142" i="1" s="1"/>
  <c r="K143" i="1" s="1"/>
  <c r="K144" i="1" s="1"/>
  <c r="K145" i="1" s="1"/>
  <c r="K146" i="1" s="1"/>
  <c r="K147" i="1" s="1"/>
  <c r="K148" i="1" s="1"/>
  <c r="K149" i="1" s="1"/>
  <c r="K150" i="1" s="1"/>
  <c r="K151" i="1" s="1"/>
  <c r="K152" i="1" s="1"/>
  <c r="K153" i="1" s="1"/>
  <c r="K154" i="1" s="1"/>
  <c r="K155" i="1" s="1"/>
  <c r="K156" i="1" s="1"/>
  <c r="K157" i="1" s="1"/>
  <c r="K158" i="1" s="1"/>
  <c r="K159" i="1" s="1"/>
  <c r="K160" i="1" s="1"/>
  <c r="K161" i="1" s="1"/>
  <c r="K162" i="1" s="1"/>
  <c r="K163" i="1" s="1"/>
  <c r="K164" i="1" s="1"/>
  <c r="K165" i="1" s="1"/>
  <c r="K166" i="1" s="1"/>
  <c r="K167" i="1" s="1"/>
  <c r="K168" i="1" s="1"/>
  <c r="K169" i="1" s="1"/>
  <c r="K170" i="1" s="1"/>
  <c r="K171" i="1" s="1"/>
  <c r="K172" i="1" s="1"/>
  <c r="K173" i="1" s="1"/>
  <c r="K174" i="1" s="1"/>
  <c r="K175" i="1" s="1"/>
  <c r="K176" i="1" s="1"/>
  <c r="K177" i="1" s="1"/>
  <c r="K178" i="1" s="1"/>
  <c r="K179" i="1" s="1"/>
  <c r="K180" i="1" s="1"/>
  <c r="K181" i="1" s="1"/>
  <c r="K182" i="1" s="1"/>
  <c r="K183" i="1" s="1"/>
  <c r="K184" i="1" s="1"/>
  <c r="K185" i="1" s="1"/>
  <c r="K186" i="1" s="1"/>
  <c r="K187" i="1" s="1"/>
  <c r="K188" i="1" s="1"/>
  <c r="K189" i="1" s="1"/>
  <c r="K190" i="1" s="1"/>
  <c r="K191" i="1" s="1"/>
  <c r="K192" i="1" s="1"/>
  <c r="K193" i="1" s="1"/>
  <c r="K194" i="1" s="1"/>
  <c r="K195" i="1" s="1"/>
  <c r="K196" i="1" s="1"/>
  <c r="K197" i="1" s="1"/>
  <c r="K198" i="1" s="1"/>
  <c r="K199" i="1" s="1"/>
  <c r="K200" i="1" s="1"/>
  <c r="K201" i="1" s="1"/>
  <c r="K202" i="1" s="1"/>
  <c r="K203" i="1" s="1"/>
  <c r="K204" i="1" s="1"/>
  <c r="K205" i="1" s="1"/>
  <c r="K206" i="1" s="1"/>
  <c r="K207" i="1" s="1"/>
  <c r="K208" i="1" s="1"/>
  <c r="K209" i="1" s="1"/>
  <c r="K210" i="1" s="1"/>
  <c r="K211" i="1" s="1"/>
  <c r="K212" i="1" s="1"/>
  <c r="K213" i="1" s="1"/>
  <c r="K214" i="1" s="1"/>
  <c r="K215" i="1" s="1"/>
  <c r="K216" i="1" s="1"/>
  <c r="K217" i="1" s="1"/>
  <c r="K218" i="1" s="1"/>
  <c r="K219" i="1" s="1"/>
  <c r="K220" i="1" s="1"/>
  <c r="K221" i="1" s="1"/>
  <c r="K222" i="1" s="1"/>
  <c r="K223" i="1" s="1"/>
  <c r="K224" i="1" s="1"/>
  <c r="K225" i="1" s="1"/>
  <c r="K226" i="1" s="1"/>
  <c r="K227" i="1" s="1"/>
  <c r="K228" i="1" s="1"/>
  <c r="K229" i="1" s="1"/>
  <c r="K230" i="1" s="1"/>
  <c r="K231" i="1" s="1"/>
  <c r="K232" i="1" s="1"/>
  <c r="K233" i="1" s="1"/>
  <c r="K234" i="1" s="1"/>
  <c r="K235" i="1" s="1"/>
  <c r="K236" i="1" s="1"/>
  <c r="K237" i="1" s="1"/>
  <c r="K238" i="1" s="1"/>
  <c r="K239" i="1" s="1"/>
  <c r="K240" i="1" s="1"/>
  <c r="K241" i="1" s="1"/>
  <c r="K242" i="1" s="1"/>
  <c r="K243" i="1" s="1"/>
  <c r="K244" i="1" s="1"/>
  <c r="K245" i="1" s="1"/>
  <c r="K246" i="1" s="1"/>
  <c r="K247" i="1" s="1"/>
  <c r="K248" i="1" s="1"/>
  <c r="K249" i="1" s="1"/>
  <c r="K250" i="1" s="1"/>
  <c r="K251" i="1" s="1"/>
  <c r="K252" i="1" s="1"/>
  <c r="K253" i="1" s="1"/>
  <c r="K254" i="1" s="1"/>
  <c r="K255" i="1" s="1"/>
  <c r="K256" i="1" s="1"/>
  <c r="K257" i="1" s="1"/>
  <c r="K258" i="1" s="1"/>
  <c r="K259" i="1" s="1"/>
  <c r="K260" i="1" s="1"/>
  <c r="K261" i="1" s="1"/>
  <c r="K262" i="1" s="1"/>
  <c r="K263" i="1" s="1"/>
  <c r="K264" i="1" s="1"/>
  <c r="K265" i="1" s="1"/>
  <c r="K266" i="1" s="1"/>
  <c r="K267" i="1" s="1"/>
  <c r="K268" i="1" s="1"/>
  <c r="K269" i="1" s="1"/>
  <c r="K270" i="1" s="1"/>
  <c r="K271" i="1" s="1"/>
  <c r="K272" i="1" s="1"/>
  <c r="K273" i="1" s="1"/>
  <c r="K274" i="1" s="1"/>
  <c r="K275" i="1" s="1"/>
  <c r="K276" i="1" s="1"/>
  <c r="K277" i="1" s="1"/>
  <c r="K278" i="1" s="1"/>
  <c r="K279" i="1" s="1"/>
  <c r="K280" i="1" s="1"/>
  <c r="K281" i="1" s="1"/>
  <c r="K282" i="1" s="1"/>
  <c r="K283" i="1" s="1"/>
  <c r="K284" i="1" s="1"/>
  <c r="K285" i="1" s="1"/>
  <c r="K286" i="1" s="1"/>
  <c r="K287" i="1" s="1"/>
  <c r="K288" i="1" s="1"/>
  <c r="K289" i="1" s="1"/>
  <c r="K290" i="1" s="1"/>
  <c r="K291" i="1" s="1"/>
  <c r="K292" i="1" s="1"/>
  <c r="K293" i="1" s="1"/>
  <c r="K294" i="1" s="1"/>
  <c r="K295" i="1" s="1"/>
  <c r="K296" i="1" s="1"/>
  <c r="K297" i="1" s="1"/>
  <c r="K298" i="1" s="1"/>
  <c r="K299" i="1" s="1"/>
  <c r="K300" i="1" s="1"/>
  <c r="K301" i="1" s="1"/>
  <c r="K302" i="1" s="1"/>
  <c r="K303" i="1" s="1"/>
  <c r="K304" i="1" s="1"/>
  <c r="K305" i="1" s="1"/>
  <c r="K306" i="1" s="1"/>
  <c r="J6" i="1"/>
  <c r="H6" i="1"/>
  <c r="H7" i="1" s="1"/>
  <c r="C20" i="1"/>
  <c r="C18" i="1"/>
  <c r="C19" i="1" s="1"/>
  <c r="J7" i="1" l="1"/>
  <c r="J8" i="1" s="1"/>
  <c r="J9" i="1" s="1"/>
  <c r="J10" i="1" s="1"/>
  <c r="J11" i="1" s="1"/>
  <c r="J12" i="1" s="1"/>
  <c r="J13" i="1" s="1"/>
  <c r="J14" i="1" s="1"/>
  <c r="J15" i="1" s="1"/>
  <c r="J16" i="1" s="1"/>
  <c r="J17" i="1" s="1"/>
  <c r="J18" i="1" s="1"/>
  <c r="J19" i="1" s="1"/>
  <c r="J20" i="1" s="1"/>
  <c r="J21" i="1" s="1"/>
  <c r="J22" i="1" s="1"/>
  <c r="J23" i="1" s="1"/>
  <c r="J24" i="1" s="1"/>
  <c r="J25" i="1" s="1"/>
  <c r="J26" i="1" s="1"/>
  <c r="J27" i="1" s="1"/>
  <c r="J28" i="1" s="1"/>
  <c r="J29" i="1" s="1"/>
  <c r="J30" i="1" s="1"/>
  <c r="J31" i="1" s="1"/>
  <c r="J32" i="1" s="1"/>
  <c r="J33" i="1" s="1"/>
  <c r="J34" i="1" s="1"/>
  <c r="J35" i="1" s="1"/>
  <c r="J36" i="1" s="1"/>
  <c r="J37" i="1" s="1"/>
  <c r="J38" i="1" s="1"/>
  <c r="J39" i="1" s="1"/>
  <c r="J40" i="1" s="1"/>
  <c r="J41" i="1" s="1"/>
  <c r="J42" i="1" s="1"/>
  <c r="J43" i="1" s="1"/>
  <c r="J44" i="1" s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  <c r="J67" i="1" s="1"/>
  <c r="J68" i="1" s="1"/>
  <c r="J69" i="1" s="1"/>
  <c r="J70" i="1" s="1"/>
  <c r="J71" i="1" s="1"/>
  <c r="J72" i="1" s="1"/>
  <c r="J73" i="1" s="1"/>
  <c r="J74" i="1" s="1"/>
  <c r="J75" i="1" s="1"/>
  <c r="J76" i="1" s="1"/>
  <c r="J77" i="1" s="1"/>
  <c r="J78" i="1" s="1"/>
  <c r="J79" i="1" s="1"/>
  <c r="J80" i="1" s="1"/>
  <c r="J81" i="1" s="1"/>
  <c r="J82" i="1" s="1"/>
  <c r="J83" i="1" s="1"/>
  <c r="J84" i="1" s="1"/>
  <c r="J85" i="1" s="1"/>
  <c r="J86" i="1" s="1"/>
  <c r="J87" i="1" s="1"/>
  <c r="J88" i="1" s="1"/>
  <c r="J89" i="1" s="1"/>
  <c r="J90" i="1" s="1"/>
  <c r="J91" i="1" s="1"/>
  <c r="J92" i="1" s="1"/>
  <c r="J93" i="1" s="1"/>
  <c r="J94" i="1" s="1"/>
  <c r="J95" i="1" s="1"/>
  <c r="J96" i="1" s="1"/>
  <c r="J97" i="1" s="1"/>
  <c r="J98" i="1" s="1"/>
  <c r="J99" i="1" s="1"/>
  <c r="J100" i="1" s="1"/>
  <c r="J101" i="1" s="1"/>
  <c r="J102" i="1" s="1"/>
  <c r="J103" i="1" s="1"/>
  <c r="J104" i="1" s="1"/>
  <c r="J105" i="1" s="1"/>
  <c r="J106" i="1" s="1"/>
  <c r="J107" i="1" s="1"/>
  <c r="J108" i="1" s="1"/>
  <c r="J109" i="1" s="1"/>
  <c r="J110" i="1" s="1"/>
  <c r="J111" i="1" s="1"/>
  <c r="J112" i="1" s="1"/>
  <c r="J113" i="1" s="1"/>
  <c r="J114" i="1" s="1"/>
  <c r="J115" i="1" s="1"/>
  <c r="J116" i="1" s="1"/>
  <c r="J117" i="1" s="1"/>
  <c r="J118" i="1" s="1"/>
  <c r="J119" i="1" s="1"/>
  <c r="J120" i="1" s="1"/>
  <c r="J121" i="1" s="1"/>
  <c r="J122" i="1" s="1"/>
  <c r="J123" i="1" s="1"/>
  <c r="J124" i="1" s="1"/>
  <c r="J125" i="1" s="1"/>
  <c r="J126" i="1" s="1"/>
  <c r="J127" i="1" s="1"/>
  <c r="J128" i="1" s="1"/>
  <c r="J129" i="1" s="1"/>
  <c r="J130" i="1" s="1"/>
  <c r="J131" i="1" s="1"/>
  <c r="J132" i="1" s="1"/>
  <c r="J133" i="1" s="1"/>
  <c r="J134" i="1" s="1"/>
  <c r="J135" i="1" s="1"/>
  <c r="J136" i="1" s="1"/>
  <c r="J137" i="1" s="1"/>
  <c r="J138" i="1" s="1"/>
  <c r="J139" i="1" s="1"/>
  <c r="J140" i="1" s="1"/>
  <c r="J141" i="1" s="1"/>
  <c r="J142" i="1" s="1"/>
  <c r="J143" i="1" s="1"/>
  <c r="J144" i="1" s="1"/>
  <c r="J145" i="1" s="1"/>
  <c r="J146" i="1" s="1"/>
  <c r="J147" i="1" s="1"/>
  <c r="J148" i="1" s="1"/>
  <c r="J149" i="1" s="1"/>
  <c r="J150" i="1" s="1"/>
  <c r="J151" i="1" s="1"/>
  <c r="J152" i="1" s="1"/>
  <c r="J153" i="1" s="1"/>
  <c r="J154" i="1" s="1"/>
  <c r="J155" i="1" s="1"/>
  <c r="J156" i="1" s="1"/>
  <c r="J157" i="1" s="1"/>
  <c r="J158" i="1" s="1"/>
  <c r="J159" i="1" s="1"/>
  <c r="J160" i="1" s="1"/>
  <c r="J161" i="1" s="1"/>
  <c r="J162" i="1" s="1"/>
  <c r="J163" i="1" s="1"/>
  <c r="J164" i="1" s="1"/>
  <c r="J165" i="1" s="1"/>
  <c r="J166" i="1" s="1"/>
  <c r="J167" i="1" s="1"/>
  <c r="J168" i="1" s="1"/>
  <c r="J169" i="1" s="1"/>
  <c r="J170" i="1" s="1"/>
  <c r="J171" i="1" s="1"/>
  <c r="J172" i="1" s="1"/>
  <c r="J173" i="1" s="1"/>
  <c r="J174" i="1" s="1"/>
  <c r="J175" i="1" s="1"/>
  <c r="J176" i="1" s="1"/>
  <c r="J177" i="1" s="1"/>
  <c r="J178" i="1" s="1"/>
  <c r="J179" i="1" s="1"/>
  <c r="J180" i="1" s="1"/>
  <c r="J181" i="1" s="1"/>
  <c r="J182" i="1" s="1"/>
  <c r="J183" i="1" s="1"/>
  <c r="J184" i="1" s="1"/>
  <c r="J185" i="1" s="1"/>
  <c r="J186" i="1" s="1"/>
  <c r="J187" i="1" s="1"/>
  <c r="J188" i="1" s="1"/>
  <c r="J189" i="1" s="1"/>
  <c r="J190" i="1" s="1"/>
  <c r="J191" i="1" s="1"/>
  <c r="J192" i="1" s="1"/>
  <c r="J193" i="1" s="1"/>
  <c r="J194" i="1" s="1"/>
  <c r="J195" i="1" s="1"/>
  <c r="J196" i="1" s="1"/>
  <c r="J197" i="1" s="1"/>
  <c r="J198" i="1" s="1"/>
  <c r="J199" i="1" s="1"/>
  <c r="J200" i="1" s="1"/>
  <c r="J201" i="1" s="1"/>
  <c r="J202" i="1" s="1"/>
  <c r="J203" i="1" s="1"/>
  <c r="J204" i="1" s="1"/>
  <c r="J205" i="1" s="1"/>
  <c r="J206" i="1" s="1"/>
  <c r="J207" i="1" s="1"/>
  <c r="J208" i="1" s="1"/>
  <c r="J209" i="1" s="1"/>
  <c r="J210" i="1" s="1"/>
  <c r="J211" i="1" s="1"/>
  <c r="J212" i="1" s="1"/>
  <c r="J213" i="1" s="1"/>
  <c r="J214" i="1" s="1"/>
  <c r="J215" i="1" s="1"/>
  <c r="J216" i="1" s="1"/>
  <c r="J217" i="1" s="1"/>
  <c r="J218" i="1" s="1"/>
  <c r="J219" i="1" s="1"/>
  <c r="J220" i="1" s="1"/>
  <c r="J221" i="1" s="1"/>
  <c r="J222" i="1" s="1"/>
  <c r="J223" i="1" s="1"/>
  <c r="J224" i="1" s="1"/>
  <c r="J225" i="1" s="1"/>
  <c r="J226" i="1" s="1"/>
  <c r="J227" i="1" s="1"/>
  <c r="J228" i="1" s="1"/>
  <c r="J229" i="1" s="1"/>
  <c r="J230" i="1" s="1"/>
  <c r="J231" i="1" s="1"/>
  <c r="J232" i="1" s="1"/>
  <c r="J233" i="1" s="1"/>
  <c r="J234" i="1" s="1"/>
  <c r="J235" i="1" s="1"/>
  <c r="J236" i="1" s="1"/>
  <c r="J237" i="1" s="1"/>
  <c r="J238" i="1" s="1"/>
  <c r="J239" i="1" s="1"/>
  <c r="J240" i="1" s="1"/>
  <c r="J241" i="1" s="1"/>
  <c r="J242" i="1" s="1"/>
  <c r="J243" i="1" s="1"/>
  <c r="J244" i="1" s="1"/>
  <c r="J245" i="1" s="1"/>
  <c r="J246" i="1" s="1"/>
  <c r="J247" i="1" s="1"/>
  <c r="J248" i="1" s="1"/>
  <c r="J249" i="1" s="1"/>
  <c r="J250" i="1" s="1"/>
  <c r="J251" i="1" s="1"/>
  <c r="J252" i="1" s="1"/>
  <c r="J253" i="1" s="1"/>
  <c r="J254" i="1" s="1"/>
  <c r="J255" i="1" s="1"/>
  <c r="J256" i="1" s="1"/>
  <c r="J257" i="1" s="1"/>
  <c r="J258" i="1" s="1"/>
  <c r="J259" i="1" s="1"/>
  <c r="J260" i="1" s="1"/>
  <c r="J261" i="1" s="1"/>
  <c r="J262" i="1" s="1"/>
  <c r="J263" i="1" s="1"/>
  <c r="J264" i="1" s="1"/>
  <c r="J265" i="1" s="1"/>
  <c r="J266" i="1" s="1"/>
  <c r="J267" i="1" s="1"/>
  <c r="J268" i="1" s="1"/>
  <c r="J269" i="1" s="1"/>
  <c r="J270" i="1" s="1"/>
  <c r="J271" i="1" s="1"/>
  <c r="J272" i="1" s="1"/>
  <c r="J273" i="1" s="1"/>
  <c r="J274" i="1" s="1"/>
  <c r="J275" i="1" s="1"/>
  <c r="J276" i="1" s="1"/>
  <c r="J277" i="1" s="1"/>
  <c r="J278" i="1" s="1"/>
  <c r="J279" i="1" s="1"/>
  <c r="J280" i="1" s="1"/>
  <c r="J281" i="1" s="1"/>
  <c r="J282" i="1" s="1"/>
  <c r="J283" i="1" s="1"/>
  <c r="J284" i="1" s="1"/>
  <c r="J285" i="1" s="1"/>
  <c r="J286" i="1" s="1"/>
  <c r="J287" i="1" s="1"/>
  <c r="J288" i="1" s="1"/>
  <c r="J289" i="1" s="1"/>
  <c r="J290" i="1" s="1"/>
  <c r="J291" i="1" s="1"/>
  <c r="J292" i="1" s="1"/>
  <c r="J293" i="1" s="1"/>
  <c r="J294" i="1" s="1"/>
  <c r="J295" i="1" s="1"/>
  <c r="J296" i="1" s="1"/>
  <c r="J297" i="1" s="1"/>
  <c r="J298" i="1" s="1"/>
  <c r="J299" i="1" s="1"/>
  <c r="J300" i="1" s="1"/>
  <c r="J301" i="1" s="1"/>
  <c r="J302" i="1" s="1"/>
  <c r="J303" i="1" s="1"/>
  <c r="J304" i="1" s="1"/>
  <c r="J305" i="1" s="1"/>
  <c r="J306" i="1" s="1"/>
  <c r="I6" i="1"/>
  <c r="H8" i="1"/>
  <c r="H9" i="1" s="1"/>
  <c r="H10" i="1" s="1"/>
  <c r="H11" i="1" s="1"/>
  <c r="H12" i="1" s="1"/>
  <c r="I7" i="1"/>
  <c r="R6" i="1"/>
  <c r="N7" i="1" s="1"/>
  <c r="Z7" i="1" l="1"/>
  <c r="I9" i="1"/>
  <c r="I11" i="1"/>
  <c r="I8" i="1"/>
  <c r="I10" i="1"/>
  <c r="H13" i="1"/>
  <c r="I12" i="1"/>
  <c r="Y7" i="1" l="1"/>
  <c r="X7" i="1"/>
  <c r="H14" i="1"/>
  <c r="I13" i="1"/>
  <c r="AA7" i="1" l="1"/>
  <c r="O7" i="1" s="1"/>
  <c r="Q7" i="1" s="1"/>
  <c r="S7" i="1" s="1"/>
  <c r="P8" i="1" s="1"/>
  <c r="V8" i="1"/>
  <c r="W8" i="1" s="1"/>
  <c r="X8" i="1" s="1"/>
  <c r="H15" i="1"/>
  <c r="I14" i="1"/>
  <c r="R7" i="1" l="1"/>
  <c r="N8" i="1" s="1"/>
  <c r="Z8" i="1" s="1"/>
  <c r="Y8" i="1"/>
  <c r="AA8" i="1" s="1"/>
  <c r="H16" i="1"/>
  <c r="I15" i="1"/>
  <c r="O8" i="1" l="1"/>
  <c r="Q8" i="1" s="1"/>
  <c r="V9" i="1"/>
  <c r="W9" i="1" s="1"/>
  <c r="H17" i="1"/>
  <c r="I16" i="1"/>
  <c r="S8" i="1" l="1"/>
  <c r="P9" i="1" s="1"/>
  <c r="Y9" i="1"/>
  <c r="X9" i="1"/>
  <c r="H18" i="1"/>
  <c r="I17" i="1"/>
  <c r="R8" i="1" l="1"/>
  <c r="N9" i="1" s="1"/>
  <c r="Z9" i="1" s="1"/>
  <c r="AA9" i="1"/>
  <c r="H19" i="1"/>
  <c r="I18" i="1"/>
  <c r="O9" i="1" l="1"/>
  <c r="Q9" i="1" s="1"/>
  <c r="S9" i="1" s="1"/>
  <c r="P10" i="1" s="1"/>
  <c r="V10" i="1"/>
  <c r="W10" i="1" s="1"/>
  <c r="H20" i="1"/>
  <c r="I19" i="1"/>
  <c r="Y10" i="1" l="1"/>
  <c r="H21" i="1"/>
  <c r="I20" i="1"/>
  <c r="X10" i="1" l="1"/>
  <c r="AA10" i="1" s="1"/>
  <c r="R9" i="1"/>
  <c r="N10" i="1" s="1"/>
  <c r="Z10" i="1" s="1"/>
  <c r="H22" i="1"/>
  <c r="I21" i="1"/>
  <c r="O10" i="1" l="1"/>
  <c r="V11" i="1"/>
  <c r="W11" i="1" s="1"/>
  <c r="H23" i="1"/>
  <c r="I22" i="1"/>
  <c r="Y11" i="1" l="1"/>
  <c r="X11" i="1"/>
  <c r="Q10" i="1"/>
  <c r="S10" i="1" s="1"/>
  <c r="P11" i="1" s="1"/>
  <c r="H24" i="1"/>
  <c r="I23" i="1"/>
  <c r="AA11" i="1" l="1"/>
  <c r="H25" i="1"/>
  <c r="I24" i="1"/>
  <c r="R10" i="1" l="1"/>
  <c r="N11" i="1" s="1"/>
  <c r="H26" i="1"/>
  <c r="I25" i="1"/>
  <c r="Z11" i="1" l="1"/>
  <c r="V12" i="1" s="1"/>
  <c r="W12" i="1" s="1"/>
  <c r="Y12" i="1" s="1"/>
  <c r="O11" i="1"/>
  <c r="H27" i="1"/>
  <c r="I26" i="1"/>
  <c r="X12" i="1" l="1"/>
  <c r="AA12" i="1" s="1"/>
  <c r="Q11" i="1"/>
  <c r="S11" i="1" s="1"/>
  <c r="P12" i="1" s="1"/>
  <c r="H28" i="1"/>
  <c r="I27" i="1"/>
  <c r="H29" i="1" l="1"/>
  <c r="I28" i="1"/>
  <c r="R11" i="1" l="1"/>
  <c r="N12" i="1" s="1"/>
  <c r="H30" i="1"/>
  <c r="I29" i="1"/>
  <c r="Z12" i="1" l="1"/>
  <c r="V13" i="1" s="1"/>
  <c r="W13" i="1" s="1"/>
  <c r="X13" i="1" s="1"/>
  <c r="O12" i="1"/>
  <c r="H31" i="1"/>
  <c r="I30" i="1"/>
  <c r="Y13" i="1" l="1"/>
  <c r="AA13" i="1" s="1"/>
  <c r="Q12" i="1"/>
  <c r="S12" i="1" s="1"/>
  <c r="H32" i="1"/>
  <c r="I31" i="1"/>
  <c r="H33" i="1" l="1"/>
  <c r="I32" i="1"/>
  <c r="R12" i="1" l="1"/>
  <c r="N13" i="1" s="1"/>
  <c r="H34" i="1"/>
  <c r="I33" i="1"/>
  <c r="Z13" i="1" l="1"/>
  <c r="V14" i="1" s="1"/>
  <c r="W14" i="1" s="1"/>
  <c r="O13" i="1"/>
  <c r="P13" i="1" s="1"/>
  <c r="H35" i="1"/>
  <c r="I34" i="1"/>
  <c r="X14" i="1" l="1"/>
  <c r="Y14" i="1"/>
  <c r="Q13" i="1"/>
  <c r="S13" i="1" s="1"/>
  <c r="H36" i="1"/>
  <c r="I35" i="1"/>
  <c r="AA14" i="1" l="1"/>
  <c r="H37" i="1"/>
  <c r="I36" i="1"/>
  <c r="R13" i="1" l="1"/>
  <c r="N14" i="1" s="1"/>
  <c r="H38" i="1"/>
  <c r="I37" i="1"/>
  <c r="Z14" i="1" l="1"/>
  <c r="V15" i="1" s="1"/>
  <c r="W15" i="1" s="1"/>
  <c r="X15" i="1" s="1"/>
  <c r="O14" i="1"/>
  <c r="P14" i="1" s="1"/>
  <c r="H39" i="1"/>
  <c r="I38" i="1"/>
  <c r="Y15" i="1" l="1"/>
  <c r="AA15" i="1" s="1"/>
  <c r="Q14" i="1"/>
  <c r="S14" i="1" s="1"/>
  <c r="H40" i="1"/>
  <c r="I39" i="1"/>
  <c r="H41" i="1" l="1"/>
  <c r="I40" i="1"/>
  <c r="R14" i="1" l="1"/>
  <c r="N15" i="1" s="1"/>
  <c r="H42" i="1"/>
  <c r="I41" i="1"/>
  <c r="Z15" i="1" l="1"/>
  <c r="V16" i="1" s="1"/>
  <c r="W16" i="1" s="1"/>
  <c r="O15" i="1"/>
  <c r="P15" i="1" s="1"/>
  <c r="H43" i="1"/>
  <c r="I42" i="1"/>
  <c r="Y16" i="1" l="1"/>
  <c r="X16" i="1"/>
  <c r="Q15" i="1"/>
  <c r="S15" i="1" s="1"/>
  <c r="H44" i="1"/>
  <c r="I43" i="1"/>
  <c r="AA16" i="1" l="1"/>
  <c r="H45" i="1"/>
  <c r="I44" i="1"/>
  <c r="R15" i="1" l="1"/>
  <c r="N16" i="1" s="1"/>
  <c r="H46" i="1"/>
  <c r="I45" i="1"/>
  <c r="Z16" i="1" l="1"/>
  <c r="V17" i="1" s="1"/>
  <c r="W17" i="1" s="1"/>
  <c r="O16" i="1"/>
  <c r="P16" i="1" s="1"/>
  <c r="H47" i="1"/>
  <c r="I46" i="1"/>
  <c r="Y17" i="1" l="1"/>
  <c r="X17" i="1"/>
  <c r="Q16" i="1"/>
  <c r="S16" i="1" s="1"/>
  <c r="H48" i="1"/>
  <c r="I47" i="1"/>
  <c r="AA17" i="1" l="1"/>
  <c r="H49" i="1"/>
  <c r="I48" i="1"/>
  <c r="R16" i="1" l="1"/>
  <c r="N17" i="1" s="1"/>
  <c r="Z17" i="1" s="1"/>
  <c r="V18" i="1" s="1"/>
  <c r="H50" i="1"/>
  <c r="I49" i="1"/>
  <c r="O17" i="1" l="1"/>
  <c r="P17" i="1" s="1"/>
  <c r="W18" i="1"/>
  <c r="H51" i="1"/>
  <c r="I50" i="1"/>
  <c r="Y18" i="1" l="1"/>
  <c r="X18" i="1"/>
  <c r="Q17" i="1"/>
  <c r="S17" i="1" s="1"/>
  <c r="H52" i="1"/>
  <c r="I51" i="1"/>
  <c r="AA18" i="1" l="1"/>
  <c r="H53" i="1"/>
  <c r="I52" i="1"/>
  <c r="R17" i="1" l="1"/>
  <c r="N18" i="1" s="1"/>
  <c r="Z18" i="1" s="1"/>
  <c r="V19" i="1" s="1"/>
  <c r="H54" i="1"/>
  <c r="I53" i="1"/>
  <c r="O18" i="1" l="1"/>
  <c r="P18" i="1" s="1"/>
  <c r="W19" i="1"/>
  <c r="H55" i="1"/>
  <c r="I54" i="1"/>
  <c r="Y19" i="1" l="1"/>
  <c r="X19" i="1"/>
  <c r="Q18" i="1"/>
  <c r="S18" i="1" s="1"/>
  <c r="H56" i="1"/>
  <c r="I55" i="1"/>
  <c r="AA19" i="1" l="1"/>
  <c r="H57" i="1"/>
  <c r="I56" i="1"/>
  <c r="R18" i="1" l="1"/>
  <c r="N19" i="1" s="1"/>
  <c r="Z19" i="1" s="1"/>
  <c r="V20" i="1" s="1"/>
  <c r="H58" i="1"/>
  <c r="I57" i="1"/>
  <c r="O19" i="1" l="1"/>
  <c r="P19" i="1" s="1"/>
  <c r="W20" i="1"/>
  <c r="H59" i="1"/>
  <c r="I58" i="1"/>
  <c r="Y20" i="1" l="1"/>
  <c r="X20" i="1"/>
  <c r="Q19" i="1"/>
  <c r="S19" i="1" s="1"/>
  <c r="H60" i="1"/>
  <c r="I59" i="1"/>
  <c r="AA20" i="1" l="1"/>
  <c r="H61" i="1"/>
  <c r="I60" i="1"/>
  <c r="R19" i="1" l="1"/>
  <c r="N20" i="1" s="1"/>
  <c r="Z20" i="1" s="1"/>
  <c r="V21" i="1" s="1"/>
  <c r="H62" i="1"/>
  <c r="I61" i="1"/>
  <c r="O20" i="1" l="1"/>
  <c r="P20" i="1" s="1"/>
  <c r="W21" i="1"/>
  <c r="H63" i="1"/>
  <c r="I62" i="1"/>
  <c r="Y21" i="1" l="1"/>
  <c r="X21" i="1"/>
  <c r="Q20" i="1"/>
  <c r="S20" i="1" s="1"/>
  <c r="H64" i="1"/>
  <c r="I63" i="1"/>
  <c r="AA21" i="1" l="1"/>
  <c r="H65" i="1"/>
  <c r="I64" i="1"/>
  <c r="R20" i="1" l="1"/>
  <c r="N21" i="1" s="1"/>
  <c r="Z21" i="1" s="1"/>
  <c r="V22" i="1" s="1"/>
  <c r="H66" i="1"/>
  <c r="I65" i="1"/>
  <c r="O21" i="1" l="1"/>
  <c r="P21" i="1" s="1"/>
  <c r="W22" i="1"/>
  <c r="H67" i="1"/>
  <c r="I66" i="1"/>
  <c r="Y22" i="1" l="1"/>
  <c r="X22" i="1"/>
  <c r="Q21" i="1"/>
  <c r="S21" i="1" s="1"/>
  <c r="H68" i="1"/>
  <c r="I67" i="1"/>
  <c r="AA22" i="1" l="1"/>
  <c r="H69" i="1"/>
  <c r="I68" i="1"/>
  <c r="R21" i="1" l="1"/>
  <c r="N22" i="1" s="1"/>
  <c r="H70" i="1"/>
  <c r="I69" i="1"/>
  <c r="Z22" i="1" l="1"/>
  <c r="V23" i="1" s="1"/>
  <c r="W23" i="1" s="1"/>
  <c r="O22" i="1"/>
  <c r="P22" i="1" s="1"/>
  <c r="H71" i="1"/>
  <c r="I70" i="1"/>
  <c r="Y23" i="1" l="1"/>
  <c r="X23" i="1"/>
  <c r="Q22" i="1"/>
  <c r="S22" i="1" s="1"/>
  <c r="H72" i="1"/>
  <c r="I71" i="1"/>
  <c r="AA23" i="1" l="1"/>
  <c r="H73" i="1"/>
  <c r="I72" i="1"/>
  <c r="R22" i="1" l="1"/>
  <c r="N23" i="1" s="1"/>
  <c r="H74" i="1"/>
  <c r="I73" i="1"/>
  <c r="Z23" i="1" l="1"/>
  <c r="V24" i="1" s="1"/>
  <c r="W24" i="1" s="1"/>
  <c r="O23" i="1"/>
  <c r="P23" i="1" s="1"/>
  <c r="H75" i="1"/>
  <c r="I74" i="1"/>
  <c r="Y24" i="1" l="1"/>
  <c r="X24" i="1"/>
  <c r="Q23" i="1"/>
  <c r="S23" i="1" s="1"/>
  <c r="H76" i="1"/>
  <c r="I75" i="1"/>
  <c r="AA24" i="1" l="1"/>
  <c r="H77" i="1"/>
  <c r="I76" i="1"/>
  <c r="R23" i="1" l="1"/>
  <c r="N24" i="1" s="1"/>
  <c r="Z24" i="1" s="1"/>
  <c r="V25" i="1" s="1"/>
  <c r="H78" i="1"/>
  <c r="I77" i="1"/>
  <c r="O24" i="1" l="1"/>
  <c r="P24" i="1" s="1"/>
  <c r="W25" i="1"/>
  <c r="H79" i="1"/>
  <c r="I78" i="1"/>
  <c r="Y25" i="1" l="1"/>
  <c r="X25" i="1"/>
  <c r="Q24" i="1"/>
  <c r="S24" i="1" s="1"/>
  <c r="H80" i="1"/>
  <c r="I79" i="1"/>
  <c r="AA25" i="1" l="1"/>
  <c r="H81" i="1"/>
  <c r="I80" i="1"/>
  <c r="R24" i="1" l="1"/>
  <c r="N25" i="1" s="1"/>
  <c r="Z25" i="1" s="1"/>
  <c r="V26" i="1" s="1"/>
  <c r="H82" i="1"/>
  <c r="I81" i="1"/>
  <c r="O25" i="1" l="1"/>
  <c r="P25" i="1" s="1"/>
  <c r="W26" i="1"/>
  <c r="H83" i="1"/>
  <c r="I82" i="1"/>
  <c r="Y26" i="1" l="1"/>
  <c r="X26" i="1"/>
  <c r="Q25" i="1"/>
  <c r="S25" i="1" s="1"/>
  <c r="H84" i="1"/>
  <c r="I83" i="1"/>
  <c r="AA26" i="1" l="1"/>
  <c r="H85" i="1"/>
  <c r="I84" i="1"/>
  <c r="R25" i="1" l="1"/>
  <c r="N26" i="1" s="1"/>
  <c r="Z26" i="1" s="1"/>
  <c r="V27" i="1" s="1"/>
  <c r="H86" i="1"/>
  <c r="I85" i="1"/>
  <c r="O26" i="1" l="1"/>
  <c r="P26" i="1" s="1"/>
  <c r="W27" i="1"/>
  <c r="H87" i="1"/>
  <c r="I86" i="1"/>
  <c r="Y27" i="1" l="1"/>
  <c r="X27" i="1"/>
  <c r="Q26" i="1"/>
  <c r="S26" i="1" s="1"/>
  <c r="H88" i="1"/>
  <c r="I87" i="1"/>
  <c r="AA27" i="1" l="1"/>
  <c r="H89" i="1"/>
  <c r="I88" i="1"/>
  <c r="R26" i="1" l="1"/>
  <c r="N27" i="1" s="1"/>
  <c r="H90" i="1"/>
  <c r="I89" i="1"/>
  <c r="Z27" i="1" l="1"/>
  <c r="V28" i="1" s="1"/>
  <c r="W28" i="1" s="1"/>
  <c r="O27" i="1"/>
  <c r="P27" i="1" s="1"/>
  <c r="H91" i="1"/>
  <c r="I90" i="1"/>
  <c r="Y28" i="1" l="1"/>
  <c r="X28" i="1"/>
  <c r="Q27" i="1"/>
  <c r="S27" i="1" s="1"/>
  <c r="H92" i="1"/>
  <c r="I91" i="1"/>
  <c r="AA28" i="1" l="1"/>
  <c r="H93" i="1"/>
  <c r="I92" i="1"/>
  <c r="R27" i="1" l="1"/>
  <c r="N28" i="1" s="1"/>
  <c r="Z28" i="1" s="1"/>
  <c r="V29" i="1" s="1"/>
  <c r="H94" i="1"/>
  <c r="I93" i="1"/>
  <c r="O28" i="1" l="1"/>
  <c r="P28" i="1" s="1"/>
  <c r="W29" i="1"/>
  <c r="H95" i="1"/>
  <c r="I94" i="1"/>
  <c r="Y29" i="1" l="1"/>
  <c r="X29" i="1"/>
  <c r="Q28" i="1"/>
  <c r="S28" i="1" s="1"/>
  <c r="H96" i="1"/>
  <c r="I95" i="1"/>
  <c r="AA29" i="1" l="1"/>
  <c r="H97" i="1"/>
  <c r="I96" i="1"/>
  <c r="R28" i="1" l="1"/>
  <c r="N29" i="1" s="1"/>
  <c r="Z29" i="1" s="1"/>
  <c r="V30" i="1" s="1"/>
  <c r="H98" i="1"/>
  <c r="I97" i="1"/>
  <c r="O29" i="1" l="1"/>
  <c r="P29" i="1" s="1"/>
  <c r="W30" i="1"/>
  <c r="H99" i="1"/>
  <c r="I98" i="1"/>
  <c r="Y30" i="1" l="1"/>
  <c r="X30" i="1"/>
  <c r="Q29" i="1"/>
  <c r="S29" i="1" s="1"/>
  <c r="H100" i="1"/>
  <c r="I99" i="1"/>
  <c r="AA30" i="1" l="1"/>
  <c r="H101" i="1"/>
  <c r="I100" i="1"/>
  <c r="R29" i="1" l="1"/>
  <c r="N30" i="1" s="1"/>
  <c r="Z30" i="1" s="1"/>
  <c r="V31" i="1" s="1"/>
  <c r="H102" i="1"/>
  <c r="I101" i="1"/>
  <c r="O30" i="1" l="1"/>
  <c r="P30" i="1" s="1"/>
  <c r="W31" i="1"/>
  <c r="H103" i="1"/>
  <c r="I102" i="1"/>
  <c r="Y31" i="1" l="1"/>
  <c r="X31" i="1"/>
  <c r="Q30" i="1"/>
  <c r="S30" i="1" s="1"/>
  <c r="H104" i="1"/>
  <c r="I103" i="1"/>
  <c r="AA31" i="1" l="1"/>
  <c r="H105" i="1"/>
  <c r="I104" i="1"/>
  <c r="R30" i="1" l="1"/>
  <c r="N31" i="1" s="1"/>
  <c r="H106" i="1"/>
  <c r="I105" i="1"/>
  <c r="Z31" i="1" l="1"/>
  <c r="V32" i="1" s="1"/>
  <c r="W32" i="1" s="1"/>
  <c r="O31" i="1"/>
  <c r="P31" i="1" s="1"/>
  <c r="H107" i="1"/>
  <c r="I106" i="1"/>
  <c r="Y32" i="1" l="1"/>
  <c r="X32" i="1"/>
  <c r="Q31" i="1"/>
  <c r="S31" i="1" s="1"/>
  <c r="H108" i="1"/>
  <c r="I107" i="1"/>
  <c r="AA32" i="1" l="1"/>
  <c r="H109" i="1"/>
  <c r="I108" i="1"/>
  <c r="R31" i="1" l="1"/>
  <c r="N32" i="1" s="1"/>
  <c r="Z32" i="1" s="1"/>
  <c r="V33" i="1" s="1"/>
  <c r="H110" i="1"/>
  <c r="I109" i="1"/>
  <c r="O32" i="1" l="1"/>
  <c r="P32" i="1" s="1"/>
  <c r="W33" i="1"/>
  <c r="H111" i="1"/>
  <c r="I110" i="1"/>
  <c r="Y33" i="1" l="1"/>
  <c r="X33" i="1"/>
  <c r="Q32" i="1"/>
  <c r="S32" i="1" s="1"/>
  <c r="H112" i="1"/>
  <c r="I111" i="1"/>
  <c r="AA33" i="1" l="1"/>
  <c r="H113" i="1"/>
  <c r="I112" i="1"/>
  <c r="R32" i="1" l="1"/>
  <c r="N33" i="1" s="1"/>
  <c r="Z33" i="1" s="1"/>
  <c r="V34" i="1" s="1"/>
  <c r="H114" i="1"/>
  <c r="I113" i="1"/>
  <c r="O33" i="1" l="1"/>
  <c r="P33" i="1" s="1"/>
  <c r="W34" i="1"/>
  <c r="H115" i="1"/>
  <c r="I114" i="1"/>
  <c r="Y34" i="1" l="1"/>
  <c r="X34" i="1"/>
  <c r="Q33" i="1"/>
  <c r="S33" i="1" s="1"/>
  <c r="H116" i="1"/>
  <c r="I115" i="1"/>
  <c r="AA34" i="1" l="1"/>
  <c r="H117" i="1"/>
  <c r="I116" i="1"/>
  <c r="R33" i="1" l="1"/>
  <c r="N34" i="1" s="1"/>
  <c r="H118" i="1"/>
  <c r="I117" i="1"/>
  <c r="Z34" i="1" l="1"/>
  <c r="V35" i="1" s="1"/>
  <c r="W35" i="1" s="1"/>
  <c r="O34" i="1"/>
  <c r="P34" i="1" s="1"/>
  <c r="H119" i="1"/>
  <c r="I118" i="1"/>
  <c r="Y35" i="1" l="1"/>
  <c r="X35" i="1"/>
  <c r="Q34" i="1"/>
  <c r="S34" i="1" s="1"/>
  <c r="H120" i="1"/>
  <c r="I119" i="1"/>
  <c r="AA35" i="1" l="1"/>
  <c r="H121" i="1"/>
  <c r="I120" i="1"/>
  <c r="R34" i="1" l="1"/>
  <c r="N35" i="1" s="1"/>
  <c r="Z35" i="1" s="1"/>
  <c r="V36" i="1" s="1"/>
  <c r="H122" i="1"/>
  <c r="I121" i="1"/>
  <c r="O35" i="1" l="1"/>
  <c r="P35" i="1" s="1"/>
  <c r="W36" i="1"/>
  <c r="H123" i="1"/>
  <c r="I122" i="1"/>
  <c r="Y36" i="1" l="1"/>
  <c r="X36" i="1"/>
  <c r="Q35" i="1"/>
  <c r="S35" i="1" s="1"/>
  <c r="H124" i="1"/>
  <c r="I123" i="1"/>
  <c r="AA36" i="1" l="1"/>
  <c r="H125" i="1"/>
  <c r="I124" i="1"/>
  <c r="R35" i="1" l="1"/>
  <c r="N36" i="1" s="1"/>
  <c r="Z36" i="1" s="1"/>
  <c r="V37" i="1" s="1"/>
  <c r="H126" i="1"/>
  <c r="I125" i="1"/>
  <c r="O36" i="1" l="1"/>
  <c r="P36" i="1" s="1"/>
  <c r="W37" i="1"/>
  <c r="H127" i="1"/>
  <c r="I126" i="1"/>
  <c r="Y37" i="1" l="1"/>
  <c r="X37" i="1"/>
  <c r="Q36" i="1"/>
  <c r="S36" i="1" s="1"/>
  <c r="H128" i="1"/>
  <c r="I127" i="1"/>
  <c r="AA37" i="1" l="1"/>
  <c r="H129" i="1"/>
  <c r="I128" i="1"/>
  <c r="R36" i="1" l="1"/>
  <c r="N37" i="1" s="1"/>
  <c r="Z37" i="1" s="1"/>
  <c r="V38" i="1" s="1"/>
  <c r="H130" i="1"/>
  <c r="I129" i="1"/>
  <c r="O37" i="1" l="1"/>
  <c r="P37" i="1" s="1"/>
  <c r="W38" i="1"/>
  <c r="H131" i="1"/>
  <c r="I130" i="1"/>
  <c r="Y38" i="1" l="1"/>
  <c r="X38" i="1"/>
  <c r="Q37" i="1"/>
  <c r="S37" i="1" s="1"/>
  <c r="H132" i="1"/>
  <c r="I131" i="1"/>
  <c r="AA38" i="1" l="1"/>
  <c r="H133" i="1"/>
  <c r="I132" i="1"/>
  <c r="R37" i="1" l="1"/>
  <c r="N38" i="1" s="1"/>
  <c r="Z38" i="1" s="1"/>
  <c r="V39" i="1" s="1"/>
  <c r="H134" i="1"/>
  <c r="I133" i="1"/>
  <c r="O38" i="1" l="1"/>
  <c r="P38" i="1" s="1"/>
  <c r="W39" i="1"/>
  <c r="H135" i="1"/>
  <c r="I134" i="1"/>
  <c r="Y39" i="1" l="1"/>
  <c r="X39" i="1"/>
  <c r="Q38" i="1"/>
  <c r="S38" i="1" s="1"/>
  <c r="H136" i="1"/>
  <c r="I135" i="1"/>
  <c r="AA39" i="1" l="1"/>
  <c r="H137" i="1"/>
  <c r="I136" i="1"/>
  <c r="R38" i="1" l="1"/>
  <c r="N39" i="1" s="1"/>
  <c r="Z39" i="1" s="1"/>
  <c r="V40" i="1" s="1"/>
  <c r="H138" i="1"/>
  <c r="I137" i="1"/>
  <c r="O39" i="1" l="1"/>
  <c r="P39" i="1" s="1"/>
  <c r="W40" i="1"/>
  <c r="H139" i="1"/>
  <c r="I138" i="1"/>
  <c r="Y40" i="1" l="1"/>
  <c r="X40" i="1"/>
  <c r="Q39" i="1"/>
  <c r="S39" i="1" s="1"/>
  <c r="H140" i="1"/>
  <c r="I139" i="1"/>
  <c r="AA40" i="1" l="1"/>
  <c r="H141" i="1"/>
  <c r="I140" i="1"/>
  <c r="R39" i="1" l="1"/>
  <c r="N40" i="1" s="1"/>
  <c r="Z40" i="1" s="1"/>
  <c r="V41" i="1" s="1"/>
  <c r="H142" i="1"/>
  <c r="I141" i="1"/>
  <c r="O40" i="1" l="1"/>
  <c r="P40" i="1" s="1"/>
  <c r="W41" i="1"/>
  <c r="H143" i="1"/>
  <c r="I142" i="1"/>
  <c r="Y41" i="1" l="1"/>
  <c r="X41" i="1"/>
  <c r="Q40" i="1"/>
  <c r="S40" i="1" s="1"/>
  <c r="H144" i="1"/>
  <c r="I143" i="1"/>
  <c r="AA41" i="1" l="1"/>
  <c r="H145" i="1"/>
  <c r="I144" i="1"/>
  <c r="R40" i="1" l="1"/>
  <c r="N41" i="1" s="1"/>
  <c r="Z41" i="1" s="1"/>
  <c r="V42" i="1" s="1"/>
  <c r="H146" i="1"/>
  <c r="I145" i="1"/>
  <c r="O41" i="1" l="1"/>
  <c r="P41" i="1" s="1"/>
  <c r="W42" i="1"/>
  <c r="H147" i="1"/>
  <c r="I146" i="1"/>
  <c r="Y42" i="1" l="1"/>
  <c r="X42" i="1"/>
  <c r="Q41" i="1"/>
  <c r="S41" i="1" s="1"/>
  <c r="H148" i="1"/>
  <c r="I147" i="1"/>
  <c r="AA42" i="1" l="1"/>
  <c r="H149" i="1"/>
  <c r="I148" i="1"/>
  <c r="R41" i="1" l="1"/>
  <c r="N42" i="1" s="1"/>
  <c r="Z42" i="1" s="1"/>
  <c r="V43" i="1" s="1"/>
  <c r="H150" i="1"/>
  <c r="I149" i="1"/>
  <c r="O42" i="1" l="1"/>
  <c r="P42" i="1" s="1"/>
  <c r="W43" i="1"/>
  <c r="H151" i="1"/>
  <c r="I150" i="1"/>
  <c r="Y43" i="1" l="1"/>
  <c r="X43" i="1"/>
  <c r="Q42" i="1"/>
  <c r="S42" i="1" s="1"/>
  <c r="H152" i="1"/>
  <c r="I151" i="1"/>
  <c r="AA43" i="1" l="1"/>
  <c r="H153" i="1"/>
  <c r="I152" i="1"/>
  <c r="R42" i="1" l="1"/>
  <c r="N43" i="1" s="1"/>
  <c r="H154" i="1"/>
  <c r="I153" i="1"/>
  <c r="Z43" i="1" l="1"/>
  <c r="V44" i="1" s="1"/>
  <c r="W44" i="1" s="1"/>
  <c r="O43" i="1"/>
  <c r="P43" i="1" s="1"/>
  <c r="H155" i="1"/>
  <c r="I154" i="1"/>
  <c r="Y44" i="1" l="1"/>
  <c r="X44" i="1"/>
  <c r="Q43" i="1"/>
  <c r="S43" i="1" s="1"/>
  <c r="H156" i="1"/>
  <c r="I155" i="1"/>
  <c r="AA44" i="1" l="1"/>
  <c r="H157" i="1"/>
  <c r="I156" i="1"/>
  <c r="R43" i="1" l="1"/>
  <c r="N44" i="1" s="1"/>
  <c r="Z44" i="1" s="1"/>
  <c r="V45" i="1" s="1"/>
  <c r="H158" i="1"/>
  <c r="I157" i="1"/>
  <c r="O44" i="1" l="1"/>
  <c r="P44" i="1" s="1"/>
  <c r="W45" i="1"/>
  <c r="H159" i="1"/>
  <c r="I158" i="1"/>
  <c r="Y45" i="1" l="1"/>
  <c r="X45" i="1"/>
  <c r="Q44" i="1"/>
  <c r="S44" i="1" s="1"/>
  <c r="H160" i="1"/>
  <c r="I159" i="1"/>
  <c r="AA45" i="1" l="1"/>
  <c r="H161" i="1"/>
  <c r="I160" i="1"/>
  <c r="R44" i="1" l="1"/>
  <c r="N45" i="1" s="1"/>
  <c r="Z45" i="1" s="1"/>
  <c r="V46" i="1" s="1"/>
  <c r="H162" i="1"/>
  <c r="I161" i="1"/>
  <c r="O45" i="1" l="1"/>
  <c r="P45" i="1" s="1"/>
  <c r="W46" i="1"/>
  <c r="H163" i="1"/>
  <c r="I162" i="1"/>
  <c r="Y46" i="1" l="1"/>
  <c r="X46" i="1"/>
  <c r="Q45" i="1"/>
  <c r="S45" i="1" s="1"/>
  <c r="H164" i="1"/>
  <c r="I163" i="1"/>
  <c r="AA46" i="1" l="1"/>
  <c r="H165" i="1"/>
  <c r="I164" i="1"/>
  <c r="R45" i="1" l="1"/>
  <c r="N46" i="1" s="1"/>
  <c r="H166" i="1"/>
  <c r="I165" i="1"/>
  <c r="Z46" i="1" l="1"/>
  <c r="V47" i="1" s="1"/>
  <c r="W47" i="1" s="1"/>
  <c r="O46" i="1"/>
  <c r="P46" i="1" s="1"/>
  <c r="H167" i="1"/>
  <c r="I166" i="1"/>
  <c r="Y47" i="1" l="1"/>
  <c r="X47" i="1"/>
  <c r="Q46" i="1"/>
  <c r="S46" i="1" s="1"/>
  <c r="H168" i="1"/>
  <c r="I167" i="1"/>
  <c r="AA47" i="1" l="1"/>
  <c r="H169" i="1"/>
  <c r="I168" i="1"/>
  <c r="R46" i="1" l="1"/>
  <c r="N47" i="1" s="1"/>
  <c r="Z47" i="1" s="1"/>
  <c r="V48" i="1" s="1"/>
  <c r="H170" i="1"/>
  <c r="I169" i="1"/>
  <c r="O47" i="1" l="1"/>
  <c r="P47" i="1" s="1"/>
  <c r="W48" i="1"/>
  <c r="H171" i="1"/>
  <c r="I170" i="1"/>
  <c r="Y48" i="1" l="1"/>
  <c r="X48" i="1"/>
  <c r="Q47" i="1"/>
  <c r="S47" i="1" s="1"/>
  <c r="H172" i="1"/>
  <c r="I171" i="1"/>
  <c r="AA48" i="1" l="1"/>
  <c r="H173" i="1"/>
  <c r="I172" i="1"/>
  <c r="R47" i="1" l="1"/>
  <c r="N48" i="1" s="1"/>
  <c r="H174" i="1"/>
  <c r="I173" i="1"/>
  <c r="Z48" i="1" l="1"/>
  <c r="V49" i="1" s="1"/>
  <c r="W49" i="1" s="1"/>
  <c r="O48" i="1"/>
  <c r="P48" i="1" s="1"/>
  <c r="H175" i="1"/>
  <c r="I174" i="1"/>
  <c r="Y49" i="1" l="1"/>
  <c r="X49" i="1"/>
  <c r="Q48" i="1"/>
  <c r="S48" i="1" s="1"/>
  <c r="H176" i="1"/>
  <c r="I175" i="1"/>
  <c r="AA49" i="1" l="1"/>
  <c r="H177" i="1"/>
  <c r="I176" i="1"/>
  <c r="R48" i="1" l="1"/>
  <c r="N49" i="1" s="1"/>
  <c r="H178" i="1"/>
  <c r="I177" i="1"/>
  <c r="Z49" i="1" l="1"/>
  <c r="V50" i="1" s="1"/>
  <c r="W50" i="1" s="1"/>
  <c r="O49" i="1"/>
  <c r="P49" i="1" s="1"/>
  <c r="H179" i="1"/>
  <c r="I178" i="1"/>
  <c r="Y50" i="1" l="1"/>
  <c r="X50" i="1"/>
  <c r="Q49" i="1"/>
  <c r="S49" i="1" s="1"/>
  <c r="H180" i="1"/>
  <c r="I179" i="1"/>
  <c r="AA50" i="1" l="1"/>
  <c r="H181" i="1"/>
  <c r="I180" i="1"/>
  <c r="R49" i="1" l="1"/>
  <c r="N50" i="1" s="1"/>
  <c r="Z50" i="1" s="1"/>
  <c r="V51" i="1" s="1"/>
  <c r="H182" i="1"/>
  <c r="I181" i="1"/>
  <c r="O50" i="1" l="1"/>
  <c r="P50" i="1" s="1"/>
  <c r="W51" i="1"/>
  <c r="H183" i="1"/>
  <c r="I182" i="1"/>
  <c r="Y51" i="1" l="1"/>
  <c r="X51" i="1"/>
  <c r="Q50" i="1"/>
  <c r="S50" i="1" s="1"/>
  <c r="H184" i="1"/>
  <c r="I183" i="1"/>
  <c r="AA51" i="1" l="1"/>
  <c r="H185" i="1"/>
  <c r="I184" i="1"/>
  <c r="R50" i="1" l="1"/>
  <c r="N51" i="1" s="1"/>
  <c r="Z51" i="1" s="1"/>
  <c r="V52" i="1" s="1"/>
  <c r="H186" i="1"/>
  <c r="I185" i="1"/>
  <c r="O51" i="1" l="1"/>
  <c r="P51" i="1" s="1"/>
  <c r="W52" i="1"/>
  <c r="H187" i="1"/>
  <c r="I186" i="1"/>
  <c r="Y52" i="1" l="1"/>
  <c r="X52" i="1"/>
  <c r="Q51" i="1"/>
  <c r="S51" i="1" s="1"/>
  <c r="H188" i="1"/>
  <c r="I187" i="1"/>
  <c r="AA52" i="1" l="1"/>
  <c r="H189" i="1"/>
  <c r="I188" i="1"/>
  <c r="R51" i="1" l="1"/>
  <c r="N52" i="1" s="1"/>
  <c r="Z52" i="1" s="1"/>
  <c r="V53" i="1" s="1"/>
  <c r="H190" i="1"/>
  <c r="I189" i="1"/>
  <c r="O52" i="1" l="1"/>
  <c r="P52" i="1" s="1"/>
  <c r="W53" i="1"/>
  <c r="H191" i="1"/>
  <c r="I190" i="1"/>
  <c r="Y53" i="1" l="1"/>
  <c r="X53" i="1"/>
  <c r="Q52" i="1"/>
  <c r="S52" i="1" s="1"/>
  <c r="H192" i="1"/>
  <c r="I191" i="1"/>
  <c r="AA53" i="1" l="1"/>
  <c r="H193" i="1"/>
  <c r="I192" i="1"/>
  <c r="R52" i="1" l="1"/>
  <c r="N53" i="1" s="1"/>
  <c r="Z53" i="1" s="1"/>
  <c r="V54" i="1" s="1"/>
  <c r="H194" i="1"/>
  <c r="I193" i="1"/>
  <c r="O53" i="1" l="1"/>
  <c r="P53" i="1" s="1"/>
  <c r="W54" i="1"/>
  <c r="H195" i="1"/>
  <c r="I194" i="1"/>
  <c r="Y54" i="1" l="1"/>
  <c r="X54" i="1"/>
  <c r="Q53" i="1"/>
  <c r="S53" i="1" s="1"/>
  <c r="H196" i="1"/>
  <c r="I195" i="1"/>
  <c r="AA54" i="1" l="1"/>
  <c r="R53" i="1"/>
  <c r="N54" i="1" s="1"/>
  <c r="Z54" i="1" s="1"/>
  <c r="V55" i="1" s="1"/>
  <c r="H197" i="1"/>
  <c r="I196" i="1"/>
  <c r="O54" i="1" l="1"/>
  <c r="P54" i="1" s="1"/>
  <c r="W55" i="1"/>
  <c r="H198" i="1"/>
  <c r="I197" i="1"/>
  <c r="Y55" i="1" l="1"/>
  <c r="X55" i="1"/>
  <c r="Q54" i="1"/>
  <c r="S54" i="1" s="1"/>
  <c r="H199" i="1"/>
  <c r="I198" i="1"/>
  <c r="AA55" i="1" l="1"/>
  <c r="H200" i="1"/>
  <c r="I199" i="1"/>
  <c r="R54" i="1" l="1"/>
  <c r="N55" i="1" s="1"/>
  <c r="Z55" i="1" s="1"/>
  <c r="V56" i="1" s="1"/>
  <c r="H201" i="1"/>
  <c r="I200" i="1"/>
  <c r="O55" i="1" l="1"/>
  <c r="P55" i="1" s="1"/>
  <c r="W56" i="1"/>
  <c r="H202" i="1"/>
  <c r="I201" i="1"/>
  <c r="Y56" i="1" l="1"/>
  <c r="X56" i="1"/>
  <c r="Q55" i="1"/>
  <c r="S55" i="1" s="1"/>
  <c r="H203" i="1"/>
  <c r="I202" i="1"/>
  <c r="AA56" i="1" l="1"/>
  <c r="H204" i="1"/>
  <c r="I203" i="1"/>
  <c r="R55" i="1" l="1"/>
  <c r="N56" i="1" s="1"/>
  <c r="Z56" i="1" s="1"/>
  <c r="V57" i="1" s="1"/>
  <c r="H205" i="1"/>
  <c r="I204" i="1"/>
  <c r="O56" i="1" l="1"/>
  <c r="P56" i="1" s="1"/>
  <c r="W57" i="1"/>
  <c r="H206" i="1"/>
  <c r="I205" i="1"/>
  <c r="Y57" i="1" l="1"/>
  <c r="X57" i="1"/>
  <c r="Q56" i="1"/>
  <c r="S56" i="1" s="1"/>
  <c r="H207" i="1"/>
  <c r="I206" i="1"/>
  <c r="AA57" i="1" l="1"/>
  <c r="H208" i="1"/>
  <c r="I207" i="1"/>
  <c r="R56" i="1" l="1"/>
  <c r="N57" i="1" s="1"/>
  <c r="Z57" i="1" s="1"/>
  <c r="V58" i="1" s="1"/>
  <c r="H209" i="1"/>
  <c r="I208" i="1"/>
  <c r="O57" i="1" l="1"/>
  <c r="P57" i="1" s="1"/>
  <c r="W58" i="1"/>
  <c r="H210" i="1"/>
  <c r="I209" i="1"/>
  <c r="Y58" i="1" l="1"/>
  <c r="X58" i="1"/>
  <c r="Q57" i="1"/>
  <c r="S57" i="1" s="1"/>
  <c r="H211" i="1"/>
  <c r="I210" i="1"/>
  <c r="AA58" i="1" l="1"/>
  <c r="R57" i="1"/>
  <c r="N58" i="1" s="1"/>
  <c r="Z58" i="1" s="1"/>
  <c r="V59" i="1" s="1"/>
  <c r="H212" i="1"/>
  <c r="I211" i="1"/>
  <c r="O58" i="1" l="1"/>
  <c r="P58" i="1" s="1"/>
  <c r="W59" i="1"/>
  <c r="H213" i="1"/>
  <c r="I212" i="1"/>
  <c r="Y59" i="1" l="1"/>
  <c r="X59" i="1"/>
  <c r="Q58" i="1"/>
  <c r="S58" i="1" s="1"/>
  <c r="H214" i="1"/>
  <c r="I213" i="1"/>
  <c r="AA59" i="1" l="1"/>
  <c r="H215" i="1"/>
  <c r="I214" i="1"/>
  <c r="R58" i="1" l="1"/>
  <c r="N59" i="1" s="1"/>
  <c r="Z59" i="1" s="1"/>
  <c r="V60" i="1" s="1"/>
  <c r="H216" i="1"/>
  <c r="I215" i="1"/>
  <c r="O59" i="1" l="1"/>
  <c r="P59" i="1" s="1"/>
  <c r="W60" i="1"/>
  <c r="H217" i="1"/>
  <c r="I216" i="1"/>
  <c r="Y60" i="1" l="1"/>
  <c r="X60" i="1"/>
  <c r="Q59" i="1"/>
  <c r="S59" i="1" s="1"/>
  <c r="H218" i="1"/>
  <c r="I217" i="1"/>
  <c r="AA60" i="1" l="1"/>
  <c r="H219" i="1"/>
  <c r="I218" i="1"/>
  <c r="R59" i="1" l="1"/>
  <c r="N60" i="1" s="1"/>
  <c r="Z60" i="1" s="1"/>
  <c r="V61" i="1" s="1"/>
  <c r="H220" i="1"/>
  <c r="I219" i="1"/>
  <c r="O60" i="1" l="1"/>
  <c r="P60" i="1" s="1"/>
  <c r="W61" i="1"/>
  <c r="H221" i="1"/>
  <c r="I220" i="1"/>
  <c r="Y61" i="1" l="1"/>
  <c r="X61" i="1"/>
  <c r="Q60" i="1"/>
  <c r="S60" i="1" s="1"/>
  <c r="H222" i="1"/>
  <c r="I221" i="1"/>
  <c r="AA61" i="1" l="1"/>
  <c r="H223" i="1"/>
  <c r="I222" i="1"/>
  <c r="R60" i="1" l="1"/>
  <c r="N61" i="1" s="1"/>
  <c r="Z61" i="1" s="1"/>
  <c r="V62" i="1" s="1"/>
  <c r="H224" i="1"/>
  <c r="I223" i="1"/>
  <c r="O61" i="1" l="1"/>
  <c r="P61" i="1" s="1"/>
  <c r="W62" i="1"/>
  <c r="H225" i="1"/>
  <c r="I224" i="1"/>
  <c r="Y62" i="1" l="1"/>
  <c r="X62" i="1"/>
  <c r="Q61" i="1"/>
  <c r="S61" i="1" s="1"/>
  <c r="H226" i="1"/>
  <c r="I225" i="1"/>
  <c r="AA62" i="1" l="1"/>
  <c r="H227" i="1"/>
  <c r="I226" i="1"/>
  <c r="R61" i="1" l="1"/>
  <c r="N62" i="1" s="1"/>
  <c r="Z62" i="1" s="1"/>
  <c r="V63" i="1" s="1"/>
  <c r="H228" i="1"/>
  <c r="I227" i="1"/>
  <c r="O62" i="1" l="1"/>
  <c r="P62" i="1" s="1"/>
  <c r="W63" i="1"/>
  <c r="H229" i="1"/>
  <c r="I228" i="1"/>
  <c r="Y63" i="1" l="1"/>
  <c r="X63" i="1"/>
  <c r="Q62" i="1"/>
  <c r="S62" i="1" s="1"/>
  <c r="H230" i="1"/>
  <c r="I229" i="1"/>
  <c r="AA63" i="1" l="1"/>
  <c r="H231" i="1"/>
  <c r="I230" i="1"/>
  <c r="R62" i="1" l="1"/>
  <c r="N63" i="1" s="1"/>
  <c r="Z63" i="1" s="1"/>
  <c r="V64" i="1" s="1"/>
  <c r="H232" i="1"/>
  <c r="I231" i="1"/>
  <c r="O63" i="1" l="1"/>
  <c r="P63" i="1" s="1"/>
  <c r="W64" i="1"/>
  <c r="H233" i="1"/>
  <c r="I232" i="1"/>
  <c r="Y64" i="1" l="1"/>
  <c r="X64" i="1"/>
  <c r="Q63" i="1"/>
  <c r="S63" i="1" s="1"/>
  <c r="H234" i="1"/>
  <c r="I233" i="1"/>
  <c r="AA64" i="1" l="1"/>
  <c r="H235" i="1"/>
  <c r="I234" i="1"/>
  <c r="R63" i="1" l="1"/>
  <c r="N64" i="1" s="1"/>
  <c r="Z64" i="1" s="1"/>
  <c r="V65" i="1" s="1"/>
  <c r="H236" i="1"/>
  <c r="I235" i="1"/>
  <c r="O64" i="1" l="1"/>
  <c r="P64" i="1" s="1"/>
  <c r="W65" i="1"/>
  <c r="H237" i="1"/>
  <c r="I236" i="1"/>
  <c r="Y65" i="1" l="1"/>
  <c r="X65" i="1"/>
  <c r="Q64" i="1"/>
  <c r="S64" i="1" s="1"/>
  <c r="H238" i="1"/>
  <c r="I237" i="1"/>
  <c r="AA65" i="1" l="1"/>
  <c r="H239" i="1"/>
  <c r="I238" i="1"/>
  <c r="R64" i="1" l="1"/>
  <c r="N65" i="1" s="1"/>
  <c r="Z65" i="1" s="1"/>
  <c r="V66" i="1" s="1"/>
  <c r="H240" i="1"/>
  <c r="I239" i="1"/>
  <c r="O65" i="1" l="1"/>
  <c r="P65" i="1" s="1"/>
  <c r="W66" i="1"/>
  <c r="H241" i="1"/>
  <c r="I240" i="1"/>
  <c r="Y66" i="1" l="1"/>
  <c r="X66" i="1"/>
  <c r="Q65" i="1"/>
  <c r="S65" i="1" s="1"/>
  <c r="H242" i="1"/>
  <c r="I241" i="1"/>
  <c r="AA66" i="1" l="1"/>
  <c r="H243" i="1"/>
  <c r="I242" i="1"/>
  <c r="R65" i="1" l="1"/>
  <c r="N66" i="1" s="1"/>
  <c r="Z66" i="1" s="1"/>
  <c r="V67" i="1" s="1"/>
  <c r="H244" i="1"/>
  <c r="I243" i="1"/>
  <c r="O66" i="1" l="1"/>
  <c r="P66" i="1" s="1"/>
  <c r="W67" i="1"/>
  <c r="H245" i="1"/>
  <c r="I244" i="1"/>
  <c r="Y67" i="1" l="1"/>
  <c r="X67" i="1"/>
  <c r="Q66" i="1"/>
  <c r="S66" i="1" s="1"/>
  <c r="H246" i="1"/>
  <c r="I245" i="1"/>
  <c r="AA67" i="1" l="1"/>
  <c r="H247" i="1"/>
  <c r="I246" i="1"/>
  <c r="R66" i="1" l="1"/>
  <c r="N67" i="1" s="1"/>
  <c r="Z67" i="1" s="1"/>
  <c r="V68" i="1" s="1"/>
  <c r="H248" i="1"/>
  <c r="I247" i="1"/>
  <c r="O67" i="1" l="1"/>
  <c r="P67" i="1" s="1"/>
  <c r="W68" i="1"/>
  <c r="H249" i="1"/>
  <c r="I248" i="1"/>
  <c r="Y68" i="1" l="1"/>
  <c r="X68" i="1"/>
  <c r="Q67" i="1"/>
  <c r="S67" i="1" s="1"/>
  <c r="H250" i="1"/>
  <c r="I249" i="1"/>
  <c r="AA68" i="1" l="1"/>
  <c r="H251" i="1"/>
  <c r="I250" i="1"/>
  <c r="R67" i="1" l="1"/>
  <c r="N68" i="1" s="1"/>
  <c r="Z68" i="1" s="1"/>
  <c r="V69" i="1" s="1"/>
  <c r="H252" i="1"/>
  <c r="I251" i="1"/>
  <c r="O68" i="1" l="1"/>
  <c r="P68" i="1" s="1"/>
  <c r="W69" i="1"/>
  <c r="H253" i="1"/>
  <c r="I252" i="1"/>
  <c r="Y69" i="1" l="1"/>
  <c r="X69" i="1"/>
  <c r="Q68" i="1"/>
  <c r="S68" i="1" s="1"/>
  <c r="H254" i="1"/>
  <c r="I253" i="1"/>
  <c r="AA69" i="1" l="1"/>
  <c r="H255" i="1"/>
  <c r="I254" i="1"/>
  <c r="R68" i="1" l="1"/>
  <c r="N69" i="1" s="1"/>
  <c r="Z69" i="1" s="1"/>
  <c r="V70" i="1" s="1"/>
  <c r="H256" i="1"/>
  <c r="I255" i="1"/>
  <c r="O69" i="1" l="1"/>
  <c r="P69" i="1" s="1"/>
  <c r="W70" i="1"/>
  <c r="H257" i="1"/>
  <c r="I256" i="1"/>
  <c r="Y70" i="1" l="1"/>
  <c r="X70" i="1"/>
  <c r="Q69" i="1"/>
  <c r="S69" i="1" s="1"/>
  <c r="H258" i="1"/>
  <c r="I257" i="1"/>
  <c r="AA70" i="1" l="1"/>
  <c r="H259" i="1"/>
  <c r="I258" i="1"/>
  <c r="R69" i="1" l="1"/>
  <c r="N70" i="1" s="1"/>
  <c r="H260" i="1"/>
  <c r="I259" i="1"/>
  <c r="Z70" i="1" l="1"/>
  <c r="V71" i="1" s="1"/>
  <c r="W71" i="1" s="1"/>
  <c r="O70" i="1"/>
  <c r="P70" i="1" s="1"/>
  <c r="H261" i="1"/>
  <c r="I260" i="1"/>
  <c r="Y71" i="1" l="1"/>
  <c r="X71" i="1"/>
  <c r="Q70" i="1"/>
  <c r="S70" i="1" s="1"/>
  <c r="H262" i="1"/>
  <c r="I261" i="1"/>
  <c r="AA71" i="1" l="1"/>
  <c r="H263" i="1"/>
  <c r="I262" i="1"/>
  <c r="R70" i="1" l="1"/>
  <c r="N71" i="1" s="1"/>
  <c r="H264" i="1"/>
  <c r="I263" i="1"/>
  <c r="Z71" i="1" l="1"/>
  <c r="V72" i="1" s="1"/>
  <c r="W72" i="1" s="1"/>
  <c r="O71" i="1"/>
  <c r="P71" i="1" s="1"/>
  <c r="H265" i="1"/>
  <c r="I264" i="1"/>
  <c r="Y72" i="1" l="1"/>
  <c r="X72" i="1"/>
  <c r="Q71" i="1"/>
  <c r="S71" i="1" s="1"/>
  <c r="H266" i="1"/>
  <c r="I265" i="1"/>
  <c r="AA72" i="1" l="1"/>
  <c r="H267" i="1"/>
  <c r="I266" i="1"/>
  <c r="R71" i="1" l="1"/>
  <c r="N72" i="1" s="1"/>
  <c r="H268" i="1"/>
  <c r="I267" i="1"/>
  <c r="Z72" i="1" l="1"/>
  <c r="V73" i="1" s="1"/>
  <c r="W73" i="1" s="1"/>
  <c r="O72" i="1"/>
  <c r="P72" i="1" s="1"/>
  <c r="H269" i="1"/>
  <c r="I268" i="1"/>
  <c r="Y73" i="1" l="1"/>
  <c r="X73" i="1"/>
  <c r="Q72" i="1"/>
  <c r="S72" i="1" s="1"/>
  <c r="H270" i="1"/>
  <c r="I269" i="1"/>
  <c r="AA73" i="1" l="1"/>
  <c r="H271" i="1"/>
  <c r="I270" i="1"/>
  <c r="R72" i="1" l="1"/>
  <c r="N73" i="1" s="1"/>
  <c r="H272" i="1"/>
  <c r="I271" i="1"/>
  <c r="Z73" i="1" l="1"/>
  <c r="V74" i="1" s="1"/>
  <c r="W74" i="1" s="1"/>
  <c r="O73" i="1"/>
  <c r="P73" i="1" s="1"/>
  <c r="H273" i="1"/>
  <c r="I272" i="1"/>
  <c r="Y74" i="1" l="1"/>
  <c r="X74" i="1"/>
  <c r="Q73" i="1"/>
  <c r="H274" i="1"/>
  <c r="I273" i="1"/>
  <c r="S73" i="1" l="1"/>
  <c r="AA74" i="1"/>
  <c r="H275" i="1"/>
  <c r="I274" i="1"/>
  <c r="R73" i="1" l="1"/>
  <c r="N74" i="1" s="1"/>
  <c r="Z74" i="1" s="1"/>
  <c r="V75" i="1" s="1"/>
  <c r="H276" i="1"/>
  <c r="I275" i="1"/>
  <c r="O74" i="1" l="1"/>
  <c r="P74" i="1" s="1"/>
  <c r="W75" i="1"/>
  <c r="H277" i="1"/>
  <c r="I276" i="1"/>
  <c r="Y75" i="1" l="1"/>
  <c r="X75" i="1"/>
  <c r="Q74" i="1"/>
  <c r="S74" i="1" s="1"/>
  <c r="H278" i="1"/>
  <c r="I277" i="1"/>
  <c r="AA75" i="1" l="1"/>
  <c r="H279" i="1"/>
  <c r="I278" i="1"/>
  <c r="R74" i="1" l="1"/>
  <c r="N75" i="1" s="1"/>
  <c r="H280" i="1"/>
  <c r="I279" i="1"/>
  <c r="Z75" i="1" l="1"/>
  <c r="V76" i="1" s="1"/>
  <c r="W76" i="1" s="1"/>
  <c r="O75" i="1"/>
  <c r="P75" i="1" s="1"/>
  <c r="H281" i="1"/>
  <c r="I280" i="1"/>
  <c r="Y76" i="1" l="1"/>
  <c r="X76" i="1"/>
  <c r="Q75" i="1"/>
  <c r="S75" i="1" s="1"/>
  <c r="H282" i="1"/>
  <c r="I281" i="1"/>
  <c r="AA76" i="1" l="1"/>
  <c r="H283" i="1"/>
  <c r="I282" i="1"/>
  <c r="R75" i="1" l="1"/>
  <c r="N76" i="1" s="1"/>
  <c r="H284" i="1"/>
  <c r="I283" i="1"/>
  <c r="Z76" i="1" l="1"/>
  <c r="V77" i="1" s="1"/>
  <c r="W77" i="1" s="1"/>
  <c r="O76" i="1"/>
  <c r="P76" i="1" s="1"/>
  <c r="H285" i="1"/>
  <c r="I284" i="1"/>
  <c r="Y77" i="1" l="1"/>
  <c r="X77" i="1"/>
  <c r="Q76" i="1"/>
  <c r="S76" i="1" s="1"/>
  <c r="H286" i="1"/>
  <c r="I285" i="1"/>
  <c r="AA77" i="1" l="1"/>
  <c r="H287" i="1"/>
  <c r="I286" i="1"/>
  <c r="R76" i="1" l="1"/>
  <c r="N77" i="1" s="1"/>
  <c r="H288" i="1"/>
  <c r="I287" i="1"/>
  <c r="Z77" i="1" l="1"/>
  <c r="V78" i="1" s="1"/>
  <c r="W78" i="1" s="1"/>
  <c r="O77" i="1"/>
  <c r="P77" i="1" s="1"/>
  <c r="H289" i="1"/>
  <c r="I288" i="1"/>
  <c r="Y78" i="1" l="1"/>
  <c r="X78" i="1"/>
  <c r="Q77" i="1"/>
  <c r="S77" i="1" s="1"/>
  <c r="H290" i="1"/>
  <c r="I289" i="1"/>
  <c r="AA78" i="1" l="1"/>
  <c r="H291" i="1"/>
  <c r="I290" i="1"/>
  <c r="R77" i="1" l="1"/>
  <c r="N78" i="1" s="1"/>
  <c r="Z78" i="1" s="1"/>
  <c r="V79" i="1" s="1"/>
  <c r="H292" i="1"/>
  <c r="I291" i="1"/>
  <c r="O78" i="1" l="1"/>
  <c r="P78" i="1" s="1"/>
  <c r="W79" i="1"/>
  <c r="H293" i="1"/>
  <c r="I292" i="1"/>
  <c r="Y79" i="1" l="1"/>
  <c r="X79" i="1"/>
  <c r="Q78" i="1"/>
  <c r="S78" i="1" s="1"/>
  <c r="H294" i="1"/>
  <c r="I293" i="1"/>
  <c r="AA79" i="1" l="1"/>
  <c r="H295" i="1"/>
  <c r="I294" i="1"/>
  <c r="R78" i="1" l="1"/>
  <c r="N79" i="1" s="1"/>
  <c r="Z79" i="1" s="1"/>
  <c r="V80" i="1" s="1"/>
  <c r="H296" i="1"/>
  <c r="I295" i="1"/>
  <c r="O79" i="1" l="1"/>
  <c r="P79" i="1" s="1"/>
  <c r="W80" i="1"/>
  <c r="H297" i="1"/>
  <c r="I296" i="1"/>
  <c r="Y80" i="1" l="1"/>
  <c r="X80" i="1"/>
  <c r="Q79" i="1"/>
  <c r="S79" i="1" s="1"/>
  <c r="H298" i="1"/>
  <c r="I297" i="1"/>
  <c r="AA80" i="1" l="1"/>
  <c r="H299" i="1"/>
  <c r="I298" i="1"/>
  <c r="R79" i="1" l="1"/>
  <c r="N80" i="1" s="1"/>
  <c r="H300" i="1"/>
  <c r="I299" i="1"/>
  <c r="Z80" i="1" l="1"/>
  <c r="V81" i="1" s="1"/>
  <c r="W81" i="1" s="1"/>
  <c r="O80" i="1"/>
  <c r="P80" i="1" s="1"/>
  <c r="H301" i="1"/>
  <c r="I300" i="1"/>
  <c r="Y81" i="1" l="1"/>
  <c r="X81" i="1"/>
  <c r="Q80" i="1"/>
  <c r="S80" i="1" s="1"/>
  <c r="H302" i="1"/>
  <c r="I301" i="1"/>
  <c r="AA81" i="1" l="1"/>
  <c r="H303" i="1"/>
  <c r="I302" i="1"/>
  <c r="R80" i="1" l="1"/>
  <c r="N81" i="1" s="1"/>
  <c r="H304" i="1"/>
  <c r="I303" i="1"/>
  <c r="Z81" i="1" l="1"/>
  <c r="V82" i="1" s="1"/>
  <c r="W82" i="1" s="1"/>
  <c r="O81" i="1"/>
  <c r="P81" i="1" s="1"/>
  <c r="H305" i="1"/>
  <c r="I304" i="1"/>
  <c r="Y82" i="1" l="1"/>
  <c r="X82" i="1"/>
  <c r="Q81" i="1"/>
  <c r="S81" i="1" s="1"/>
  <c r="H306" i="1"/>
  <c r="I306" i="1" s="1"/>
  <c r="I305" i="1"/>
  <c r="AA82" i="1" l="1"/>
  <c r="R81" i="1" l="1"/>
  <c r="N82" i="1" s="1"/>
  <c r="Z82" i="1" s="1"/>
  <c r="V83" i="1" s="1"/>
  <c r="O82" i="1" l="1"/>
  <c r="P82" i="1" s="1"/>
  <c r="W83" i="1"/>
  <c r="Y83" i="1" l="1"/>
  <c r="X83" i="1"/>
  <c r="Q82" i="1"/>
  <c r="S82" i="1" s="1"/>
  <c r="AA83" i="1" l="1"/>
  <c r="R82" i="1" l="1"/>
  <c r="N83" i="1" s="1"/>
  <c r="Z83" i="1" s="1"/>
  <c r="V84" i="1" s="1"/>
  <c r="O83" i="1" l="1"/>
  <c r="P83" i="1" s="1"/>
  <c r="W84" i="1"/>
  <c r="Y84" i="1" l="1"/>
  <c r="X84" i="1"/>
  <c r="Q83" i="1"/>
  <c r="S83" i="1" s="1"/>
  <c r="AA84" i="1" l="1"/>
  <c r="R83" i="1" l="1"/>
  <c r="N84" i="1" s="1"/>
  <c r="Z84" i="1" l="1"/>
  <c r="V85" i="1" s="1"/>
  <c r="W85" i="1" s="1"/>
  <c r="O84" i="1"/>
  <c r="P84" i="1" s="1"/>
  <c r="Y85" i="1" l="1"/>
  <c r="X85" i="1"/>
  <c r="Q84" i="1"/>
  <c r="S84" i="1" s="1"/>
  <c r="AA85" i="1" l="1"/>
  <c r="R84" i="1" l="1"/>
  <c r="N85" i="1" s="1"/>
  <c r="Z85" i="1" s="1"/>
  <c r="V86" i="1" s="1"/>
  <c r="O85" i="1" l="1"/>
  <c r="P85" i="1" s="1"/>
  <c r="W86" i="1"/>
  <c r="Y86" i="1" l="1"/>
  <c r="X86" i="1"/>
  <c r="Q85" i="1"/>
  <c r="S85" i="1" s="1"/>
  <c r="AA86" i="1" l="1"/>
  <c r="R85" i="1" l="1"/>
  <c r="N86" i="1" s="1"/>
  <c r="Z86" i="1" s="1"/>
  <c r="V87" i="1" s="1"/>
  <c r="O86" i="1" l="1"/>
  <c r="P86" i="1" s="1"/>
  <c r="W87" i="1"/>
  <c r="Y87" i="1" l="1"/>
  <c r="X87" i="1"/>
  <c r="Q86" i="1"/>
  <c r="S86" i="1" s="1"/>
  <c r="AA87" i="1" l="1"/>
  <c r="R86" i="1" l="1"/>
  <c r="N87" i="1" s="1"/>
  <c r="Z87" i="1" s="1"/>
  <c r="V88" i="1" s="1"/>
  <c r="O87" i="1" l="1"/>
  <c r="P87" i="1" s="1"/>
  <c r="W88" i="1"/>
  <c r="Y88" i="1" l="1"/>
  <c r="X88" i="1"/>
  <c r="Q87" i="1"/>
  <c r="S87" i="1" s="1"/>
  <c r="AA88" i="1" l="1"/>
  <c r="R87" i="1" l="1"/>
  <c r="N88" i="1" s="1"/>
  <c r="Z88" i="1" s="1"/>
  <c r="V89" i="1" s="1"/>
  <c r="O88" i="1" l="1"/>
  <c r="P88" i="1" s="1"/>
  <c r="W89" i="1"/>
  <c r="Y89" i="1" l="1"/>
  <c r="X89" i="1"/>
  <c r="Q88" i="1"/>
  <c r="S88" i="1" s="1"/>
  <c r="AA89" i="1" l="1"/>
  <c r="R88" i="1" l="1"/>
  <c r="N89" i="1" s="1"/>
  <c r="Z89" i="1" s="1"/>
  <c r="V90" i="1" s="1"/>
  <c r="O89" i="1" l="1"/>
  <c r="P89" i="1" s="1"/>
  <c r="W90" i="1"/>
  <c r="Y90" i="1" l="1"/>
  <c r="X90" i="1"/>
  <c r="Q89" i="1"/>
  <c r="S89" i="1" s="1"/>
  <c r="AA90" i="1" l="1"/>
  <c r="R89" i="1" l="1"/>
  <c r="N90" i="1" s="1"/>
  <c r="Z90" i="1" s="1"/>
  <c r="V91" i="1" s="1"/>
  <c r="O90" i="1" l="1"/>
  <c r="P90" i="1" s="1"/>
  <c r="W91" i="1"/>
  <c r="Y91" i="1" l="1"/>
  <c r="X91" i="1"/>
  <c r="Q90" i="1"/>
  <c r="S90" i="1" s="1"/>
  <c r="AA91" i="1" l="1"/>
  <c r="R90" i="1" l="1"/>
  <c r="N91" i="1" s="1"/>
  <c r="Z91" i="1" s="1"/>
  <c r="V92" i="1" s="1"/>
  <c r="O91" i="1" l="1"/>
  <c r="P91" i="1" s="1"/>
  <c r="W92" i="1"/>
  <c r="Y92" i="1" l="1"/>
  <c r="X92" i="1"/>
  <c r="Q91" i="1"/>
  <c r="S91" i="1" s="1"/>
  <c r="AA92" i="1" l="1"/>
  <c r="R91" i="1" l="1"/>
  <c r="N92" i="1" s="1"/>
  <c r="Z92" i="1" s="1"/>
  <c r="V93" i="1" s="1"/>
  <c r="O92" i="1" l="1"/>
  <c r="P92" i="1" s="1"/>
  <c r="W93" i="1"/>
  <c r="Y93" i="1" l="1"/>
  <c r="X93" i="1"/>
  <c r="Q92" i="1"/>
  <c r="S92" i="1" s="1"/>
  <c r="AA93" i="1" l="1"/>
  <c r="R92" i="1" l="1"/>
  <c r="N93" i="1" s="1"/>
  <c r="Z93" i="1" s="1"/>
  <c r="V94" i="1" s="1"/>
  <c r="O93" i="1" l="1"/>
  <c r="P93" i="1" s="1"/>
  <c r="W94" i="1"/>
  <c r="Y94" i="1" l="1"/>
  <c r="X94" i="1"/>
  <c r="Q93" i="1"/>
  <c r="S93" i="1" s="1"/>
  <c r="AA94" i="1" l="1"/>
  <c r="R93" i="1" l="1"/>
  <c r="N94" i="1" s="1"/>
  <c r="Z94" i="1" s="1"/>
  <c r="V95" i="1" s="1"/>
  <c r="O94" i="1" l="1"/>
  <c r="P94" i="1" s="1"/>
  <c r="W95" i="1"/>
  <c r="Y95" i="1" l="1"/>
  <c r="X95" i="1"/>
  <c r="Q94" i="1"/>
  <c r="S94" i="1" s="1"/>
  <c r="AA95" i="1" l="1"/>
  <c r="R94" i="1" l="1"/>
  <c r="N95" i="1" s="1"/>
  <c r="Z95" i="1" s="1"/>
  <c r="V96" i="1" s="1"/>
  <c r="O95" i="1" l="1"/>
  <c r="P95" i="1" s="1"/>
  <c r="W96" i="1"/>
  <c r="Y96" i="1" l="1"/>
  <c r="X96" i="1"/>
  <c r="Q95" i="1"/>
  <c r="S95" i="1" s="1"/>
  <c r="AA96" i="1" l="1"/>
  <c r="R95" i="1" l="1"/>
  <c r="N96" i="1" s="1"/>
  <c r="Z96" i="1" s="1"/>
  <c r="V97" i="1" s="1"/>
  <c r="O96" i="1" l="1"/>
  <c r="P96" i="1" s="1"/>
  <c r="W97" i="1"/>
  <c r="Y97" i="1" l="1"/>
  <c r="X97" i="1"/>
  <c r="Q96" i="1"/>
  <c r="S96" i="1" s="1"/>
  <c r="AA97" i="1" l="1"/>
  <c r="R96" i="1" l="1"/>
  <c r="N97" i="1" s="1"/>
  <c r="Z97" i="1" s="1"/>
  <c r="V98" i="1" s="1"/>
  <c r="O97" i="1" l="1"/>
  <c r="P97" i="1" s="1"/>
  <c r="W98" i="1"/>
  <c r="Y98" i="1" l="1"/>
  <c r="X98" i="1"/>
  <c r="Q97" i="1"/>
  <c r="S97" i="1" s="1"/>
  <c r="AA98" i="1" l="1"/>
  <c r="R97" i="1" l="1"/>
  <c r="N98" i="1" s="1"/>
  <c r="Z98" i="1" s="1"/>
  <c r="V99" i="1" s="1"/>
  <c r="O98" i="1" l="1"/>
  <c r="P98" i="1" s="1"/>
  <c r="W99" i="1"/>
  <c r="Y99" i="1" l="1"/>
  <c r="X99" i="1"/>
  <c r="Q98" i="1"/>
  <c r="S98" i="1" s="1"/>
  <c r="AA99" i="1" l="1"/>
  <c r="R98" i="1" l="1"/>
  <c r="N99" i="1" s="1"/>
  <c r="Z99" i="1" s="1"/>
  <c r="V100" i="1" s="1"/>
  <c r="O99" i="1" l="1"/>
  <c r="P99" i="1" s="1"/>
  <c r="W100" i="1"/>
  <c r="Y100" i="1" l="1"/>
  <c r="X100" i="1"/>
  <c r="Q99" i="1"/>
  <c r="S99" i="1" s="1"/>
  <c r="AA100" i="1" l="1"/>
  <c r="R99" i="1"/>
  <c r="N100" i="1" s="1"/>
  <c r="Z100" i="1" s="1"/>
  <c r="V101" i="1" s="1"/>
  <c r="O100" i="1" l="1"/>
  <c r="P100" i="1" s="1"/>
  <c r="W101" i="1"/>
  <c r="Y101" i="1" l="1"/>
  <c r="X101" i="1"/>
  <c r="Q100" i="1"/>
  <c r="S100" i="1" s="1"/>
  <c r="AA101" i="1" l="1"/>
  <c r="R100" i="1" l="1"/>
  <c r="N101" i="1" s="1"/>
  <c r="Z101" i="1" s="1"/>
  <c r="V102" i="1" s="1"/>
  <c r="O101" i="1" l="1"/>
  <c r="P101" i="1" s="1"/>
  <c r="W102" i="1"/>
  <c r="Y102" i="1" l="1"/>
  <c r="X102" i="1"/>
  <c r="Q101" i="1"/>
  <c r="S101" i="1" s="1"/>
  <c r="AA102" i="1" l="1"/>
  <c r="R101" i="1" l="1"/>
  <c r="N102" i="1" s="1"/>
  <c r="Z102" i="1" s="1"/>
  <c r="V103" i="1" s="1"/>
  <c r="O102" i="1" l="1"/>
  <c r="P102" i="1" s="1"/>
  <c r="W103" i="1"/>
  <c r="Y103" i="1" l="1"/>
  <c r="X103" i="1"/>
  <c r="Q102" i="1"/>
  <c r="S102" i="1" s="1"/>
  <c r="AA103" i="1" l="1"/>
  <c r="R102" i="1" l="1"/>
  <c r="N103" i="1" s="1"/>
  <c r="Z103" i="1" s="1"/>
  <c r="V104" i="1" s="1"/>
  <c r="O103" i="1" l="1"/>
  <c r="P103" i="1" s="1"/>
  <c r="W104" i="1"/>
  <c r="Y104" i="1" l="1"/>
  <c r="X104" i="1"/>
  <c r="Q103" i="1"/>
  <c r="S103" i="1" s="1"/>
  <c r="AA104" i="1" l="1"/>
  <c r="R103" i="1" l="1"/>
  <c r="N104" i="1" s="1"/>
  <c r="Z104" i="1" s="1"/>
  <c r="V105" i="1" s="1"/>
  <c r="O104" i="1" l="1"/>
  <c r="P104" i="1" s="1"/>
  <c r="W105" i="1"/>
  <c r="Y105" i="1" l="1"/>
  <c r="X105" i="1"/>
  <c r="Q104" i="1"/>
  <c r="S104" i="1" s="1"/>
  <c r="AA105" i="1" l="1"/>
  <c r="R104" i="1" l="1"/>
  <c r="N105" i="1" s="1"/>
  <c r="Z105" i="1" s="1"/>
  <c r="V106" i="1" s="1"/>
  <c r="O105" i="1" l="1"/>
  <c r="P105" i="1" s="1"/>
  <c r="W106" i="1"/>
  <c r="Y106" i="1" l="1"/>
  <c r="X106" i="1"/>
  <c r="Q105" i="1"/>
  <c r="S105" i="1" s="1"/>
  <c r="AA106" i="1" l="1"/>
  <c r="R105" i="1" l="1"/>
  <c r="N106" i="1" s="1"/>
  <c r="Z106" i="1" s="1"/>
  <c r="V107" i="1" s="1"/>
  <c r="O106" i="1" l="1"/>
  <c r="P106" i="1" s="1"/>
  <c r="W107" i="1"/>
  <c r="Y107" i="1" l="1"/>
  <c r="X107" i="1"/>
  <c r="Q106" i="1"/>
  <c r="S106" i="1" s="1"/>
  <c r="AA107" i="1" l="1"/>
  <c r="R106" i="1" l="1"/>
  <c r="N107" i="1" s="1"/>
  <c r="Z107" i="1" s="1"/>
  <c r="V108" i="1" s="1"/>
  <c r="O107" i="1" l="1"/>
  <c r="P107" i="1" s="1"/>
  <c r="W108" i="1"/>
  <c r="Y108" i="1" l="1"/>
  <c r="X108" i="1"/>
  <c r="Q107" i="1"/>
  <c r="S107" i="1" s="1"/>
  <c r="AA108" i="1" l="1"/>
  <c r="R107" i="1" l="1"/>
  <c r="N108" i="1" s="1"/>
  <c r="Z108" i="1" s="1"/>
  <c r="V109" i="1" s="1"/>
  <c r="O108" i="1" l="1"/>
  <c r="P108" i="1" s="1"/>
  <c r="W109" i="1"/>
  <c r="Y109" i="1" l="1"/>
  <c r="X109" i="1"/>
  <c r="Q108" i="1"/>
  <c r="S108" i="1" s="1"/>
  <c r="AA109" i="1" l="1"/>
  <c r="R108" i="1" l="1"/>
  <c r="N109" i="1" s="1"/>
  <c r="Z109" i="1" s="1"/>
  <c r="V110" i="1" s="1"/>
  <c r="O109" i="1" l="1"/>
  <c r="P109" i="1" s="1"/>
  <c r="W110" i="1"/>
  <c r="Y110" i="1" l="1"/>
  <c r="X110" i="1"/>
  <c r="Q109" i="1"/>
  <c r="S109" i="1" s="1"/>
  <c r="AA110" i="1" l="1"/>
  <c r="R109" i="1" l="1"/>
  <c r="N110" i="1" s="1"/>
  <c r="Z110" i="1" s="1"/>
  <c r="V111" i="1" s="1"/>
  <c r="O110" i="1" l="1"/>
  <c r="P110" i="1" s="1"/>
  <c r="W111" i="1"/>
  <c r="Y111" i="1" l="1"/>
  <c r="X111" i="1"/>
  <c r="Q110" i="1"/>
  <c r="S110" i="1" s="1"/>
  <c r="AA111" i="1" l="1"/>
  <c r="R110" i="1" l="1"/>
  <c r="N111" i="1" s="1"/>
  <c r="Z111" i="1" s="1"/>
  <c r="V112" i="1" s="1"/>
  <c r="O111" i="1" l="1"/>
  <c r="P111" i="1" s="1"/>
  <c r="W112" i="1"/>
  <c r="Y112" i="1" l="1"/>
  <c r="X112" i="1"/>
  <c r="Q111" i="1"/>
  <c r="S111" i="1" s="1"/>
  <c r="AA112" i="1" l="1"/>
  <c r="R111" i="1" l="1"/>
  <c r="N112" i="1" s="1"/>
  <c r="Z112" i="1" s="1"/>
  <c r="V113" i="1" s="1"/>
  <c r="O112" i="1" l="1"/>
  <c r="P112" i="1" s="1"/>
  <c r="W113" i="1"/>
  <c r="Y113" i="1" l="1"/>
  <c r="X113" i="1"/>
  <c r="Q112" i="1"/>
  <c r="S112" i="1" s="1"/>
  <c r="AA113" i="1" l="1"/>
  <c r="R112" i="1" l="1"/>
  <c r="N113" i="1" s="1"/>
  <c r="Z113" i="1" s="1"/>
  <c r="V114" i="1" s="1"/>
  <c r="O113" i="1" l="1"/>
  <c r="P113" i="1" s="1"/>
  <c r="W114" i="1"/>
  <c r="Y114" i="1" l="1"/>
  <c r="X114" i="1"/>
  <c r="Q113" i="1"/>
  <c r="S113" i="1" s="1"/>
  <c r="AA114" i="1" l="1"/>
  <c r="R113" i="1" l="1"/>
  <c r="N114" i="1" s="1"/>
  <c r="Z114" i="1" s="1"/>
  <c r="V115" i="1" s="1"/>
  <c r="O114" i="1" l="1"/>
  <c r="P114" i="1" s="1"/>
  <c r="W115" i="1"/>
  <c r="Y115" i="1" l="1"/>
  <c r="X115" i="1"/>
  <c r="Q114" i="1"/>
  <c r="S114" i="1" s="1"/>
  <c r="AA115" i="1" l="1"/>
  <c r="R114" i="1" l="1"/>
  <c r="N115" i="1" s="1"/>
  <c r="Z115" i="1" s="1"/>
  <c r="V116" i="1" s="1"/>
  <c r="O115" i="1" l="1"/>
  <c r="P115" i="1" s="1"/>
  <c r="W116" i="1"/>
  <c r="Y116" i="1" l="1"/>
  <c r="X116" i="1"/>
  <c r="Q115" i="1"/>
  <c r="S115" i="1" s="1"/>
  <c r="AA116" i="1" l="1"/>
  <c r="R115" i="1" l="1"/>
  <c r="N116" i="1" s="1"/>
  <c r="Z116" i="1" s="1"/>
  <c r="V117" i="1" s="1"/>
  <c r="O116" i="1" l="1"/>
  <c r="P116" i="1" s="1"/>
  <c r="W117" i="1"/>
  <c r="Y117" i="1" l="1"/>
  <c r="X117" i="1"/>
  <c r="Q116" i="1"/>
  <c r="S116" i="1" s="1"/>
  <c r="AA117" i="1" l="1"/>
  <c r="R116" i="1" l="1"/>
  <c r="N117" i="1" s="1"/>
  <c r="Z117" i="1" s="1"/>
  <c r="V118" i="1" s="1"/>
  <c r="O117" i="1" l="1"/>
  <c r="P117" i="1" s="1"/>
  <c r="W118" i="1"/>
  <c r="Y118" i="1" l="1"/>
  <c r="X118" i="1"/>
  <c r="Q117" i="1"/>
  <c r="S117" i="1" s="1"/>
  <c r="AA118" i="1" l="1"/>
  <c r="R117" i="1" l="1"/>
  <c r="N118" i="1" s="1"/>
  <c r="Z118" i="1" s="1"/>
  <c r="V119" i="1" s="1"/>
  <c r="O118" i="1" l="1"/>
  <c r="P118" i="1" s="1"/>
  <c r="W119" i="1"/>
  <c r="Y119" i="1" l="1"/>
  <c r="X119" i="1"/>
  <c r="Q118" i="1"/>
  <c r="S118" i="1" s="1"/>
  <c r="AA119" i="1" l="1"/>
  <c r="R118" i="1" l="1"/>
  <c r="N119" i="1" s="1"/>
  <c r="Z119" i="1" s="1"/>
  <c r="V120" i="1" s="1"/>
  <c r="O119" i="1" l="1"/>
  <c r="P119" i="1" s="1"/>
  <c r="W120" i="1"/>
  <c r="Y120" i="1" l="1"/>
  <c r="X120" i="1"/>
  <c r="Q119" i="1"/>
  <c r="S119" i="1" s="1"/>
  <c r="AA120" i="1" l="1"/>
  <c r="R119" i="1" l="1"/>
  <c r="N120" i="1" s="1"/>
  <c r="Z120" i="1" s="1"/>
  <c r="V121" i="1" s="1"/>
  <c r="O120" i="1" l="1"/>
  <c r="P120" i="1" s="1"/>
  <c r="W121" i="1"/>
  <c r="Y121" i="1" l="1"/>
  <c r="X121" i="1"/>
  <c r="Q120" i="1"/>
  <c r="S120" i="1" s="1"/>
  <c r="AA121" i="1" l="1"/>
  <c r="R120" i="1" l="1"/>
  <c r="N121" i="1" s="1"/>
  <c r="Z121" i="1" s="1"/>
  <c r="V122" i="1" s="1"/>
  <c r="O121" i="1" l="1"/>
  <c r="P121" i="1" s="1"/>
  <c r="W122" i="1"/>
  <c r="Y122" i="1" l="1"/>
  <c r="X122" i="1"/>
  <c r="Q121" i="1"/>
  <c r="S121" i="1" s="1"/>
  <c r="AA122" i="1" l="1"/>
  <c r="R121" i="1" l="1"/>
  <c r="N122" i="1" s="1"/>
  <c r="Z122" i="1" s="1"/>
  <c r="V123" i="1" s="1"/>
  <c r="O122" i="1" l="1"/>
  <c r="P122" i="1" s="1"/>
  <c r="W123" i="1"/>
  <c r="Y123" i="1" l="1"/>
  <c r="X123" i="1"/>
  <c r="Q122" i="1"/>
  <c r="S122" i="1" s="1"/>
  <c r="AA123" i="1" l="1"/>
  <c r="R122" i="1" l="1"/>
  <c r="N123" i="1" s="1"/>
  <c r="Z123" i="1" s="1"/>
  <c r="V124" i="1" s="1"/>
  <c r="O123" i="1" l="1"/>
  <c r="P123" i="1" s="1"/>
  <c r="W124" i="1"/>
  <c r="Y124" i="1" l="1"/>
  <c r="X124" i="1"/>
  <c r="Q123" i="1"/>
  <c r="S123" i="1" s="1"/>
  <c r="AA124" i="1" l="1"/>
  <c r="R123" i="1" l="1"/>
  <c r="N124" i="1" s="1"/>
  <c r="Z124" i="1" s="1"/>
  <c r="V125" i="1" s="1"/>
  <c r="O124" i="1" l="1"/>
  <c r="P124" i="1" s="1"/>
  <c r="W125" i="1"/>
  <c r="Y125" i="1" l="1"/>
  <c r="X125" i="1"/>
  <c r="Q124" i="1"/>
  <c r="S124" i="1" s="1"/>
  <c r="AA125" i="1" l="1"/>
  <c r="R124" i="1" l="1"/>
  <c r="N125" i="1" s="1"/>
  <c r="Z125" i="1" s="1"/>
  <c r="V126" i="1" s="1"/>
  <c r="O125" i="1" l="1"/>
  <c r="P125" i="1" s="1"/>
  <c r="W126" i="1"/>
  <c r="Y126" i="1" l="1"/>
  <c r="X126" i="1"/>
  <c r="Q125" i="1"/>
  <c r="S125" i="1" s="1"/>
  <c r="AA126" i="1" l="1"/>
  <c r="R125" i="1" l="1"/>
  <c r="N126" i="1" s="1"/>
  <c r="Z126" i="1" s="1"/>
  <c r="V127" i="1" s="1"/>
  <c r="O126" i="1" l="1"/>
  <c r="P126" i="1" s="1"/>
  <c r="W127" i="1"/>
  <c r="Y127" i="1" l="1"/>
  <c r="X127" i="1"/>
  <c r="Q126" i="1"/>
  <c r="S126" i="1" s="1"/>
  <c r="AA127" i="1" l="1"/>
  <c r="R126" i="1" l="1"/>
  <c r="N127" i="1" s="1"/>
  <c r="Z127" i="1" s="1"/>
  <c r="V128" i="1" s="1"/>
  <c r="O127" i="1" l="1"/>
  <c r="P127" i="1" s="1"/>
  <c r="W128" i="1"/>
  <c r="Y128" i="1" l="1"/>
  <c r="X128" i="1"/>
  <c r="Q127" i="1"/>
  <c r="S127" i="1" s="1"/>
  <c r="AA128" i="1" l="1"/>
  <c r="R127" i="1" l="1"/>
  <c r="N128" i="1" s="1"/>
  <c r="Z128" i="1" s="1"/>
  <c r="V129" i="1" s="1"/>
  <c r="O128" i="1" l="1"/>
  <c r="P128" i="1" s="1"/>
  <c r="W129" i="1"/>
  <c r="Y129" i="1" l="1"/>
  <c r="X129" i="1"/>
  <c r="Q128" i="1"/>
  <c r="S128" i="1" s="1"/>
  <c r="AA129" i="1" l="1"/>
  <c r="R128" i="1" l="1"/>
  <c r="N129" i="1" s="1"/>
  <c r="Z129" i="1" s="1"/>
  <c r="V130" i="1" s="1"/>
  <c r="O129" i="1" l="1"/>
  <c r="P129" i="1" s="1"/>
  <c r="W130" i="1"/>
  <c r="Y130" i="1" l="1"/>
  <c r="X130" i="1"/>
  <c r="Q129" i="1"/>
  <c r="S129" i="1" s="1"/>
  <c r="AA130" i="1" l="1"/>
  <c r="R129" i="1" l="1"/>
  <c r="N130" i="1" s="1"/>
  <c r="Z130" i="1" s="1"/>
  <c r="V131" i="1" s="1"/>
  <c r="O130" i="1" l="1"/>
  <c r="P130" i="1" s="1"/>
  <c r="W131" i="1"/>
  <c r="Y131" i="1" l="1"/>
  <c r="X131" i="1"/>
  <c r="Q130" i="1"/>
  <c r="S130" i="1" s="1"/>
  <c r="AA131" i="1" l="1"/>
  <c r="R130" i="1" l="1"/>
  <c r="N131" i="1" s="1"/>
  <c r="Z131" i="1" s="1"/>
  <c r="V132" i="1" s="1"/>
  <c r="O131" i="1" l="1"/>
  <c r="P131" i="1" s="1"/>
  <c r="W132" i="1"/>
  <c r="Y132" i="1" l="1"/>
  <c r="X132" i="1"/>
  <c r="Q131" i="1"/>
  <c r="S131" i="1" s="1"/>
  <c r="AA132" i="1" l="1"/>
  <c r="R131" i="1" l="1"/>
  <c r="N132" i="1" s="1"/>
  <c r="Z132" i="1" s="1"/>
  <c r="V133" i="1" s="1"/>
  <c r="O132" i="1" l="1"/>
  <c r="P132" i="1" s="1"/>
  <c r="W133" i="1"/>
  <c r="Y133" i="1" l="1"/>
  <c r="X133" i="1"/>
  <c r="Q132" i="1"/>
  <c r="S132" i="1" s="1"/>
  <c r="AA133" i="1" l="1"/>
  <c r="R132" i="1" l="1"/>
  <c r="N133" i="1" s="1"/>
  <c r="Z133" i="1" s="1"/>
  <c r="V134" i="1" s="1"/>
  <c r="O133" i="1" l="1"/>
  <c r="P133" i="1" s="1"/>
  <c r="W134" i="1"/>
  <c r="Y134" i="1" l="1"/>
  <c r="X134" i="1"/>
  <c r="Q133" i="1"/>
  <c r="S133" i="1" s="1"/>
  <c r="AA134" i="1" l="1"/>
  <c r="R133" i="1" l="1"/>
  <c r="N134" i="1" s="1"/>
  <c r="Z134" i="1" s="1"/>
  <c r="V135" i="1" s="1"/>
  <c r="O134" i="1" l="1"/>
  <c r="P134" i="1" s="1"/>
  <c r="W135" i="1"/>
  <c r="Y135" i="1" l="1"/>
  <c r="X135" i="1"/>
  <c r="Q134" i="1"/>
  <c r="S134" i="1" s="1"/>
  <c r="AA135" i="1" l="1"/>
  <c r="R134" i="1" l="1"/>
  <c r="N135" i="1" s="1"/>
  <c r="Z135" i="1" s="1"/>
  <c r="V136" i="1" s="1"/>
  <c r="O135" i="1" l="1"/>
  <c r="P135" i="1" s="1"/>
  <c r="W136" i="1"/>
  <c r="Y136" i="1" l="1"/>
  <c r="X136" i="1"/>
  <c r="Q135" i="1"/>
  <c r="S135" i="1" s="1"/>
  <c r="AA136" i="1" l="1"/>
  <c r="R135" i="1" l="1"/>
  <c r="N136" i="1" s="1"/>
  <c r="Z136" i="1" s="1"/>
  <c r="V137" i="1" s="1"/>
  <c r="O136" i="1" l="1"/>
  <c r="P136" i="1" s="1"/>
  <c r="W137" i="1"/>
  <c r="Y137" i="1" l="1"/>
  <c r="X137" i="1"/>
  <c r="Q136" i="1"/>
  <c r="S136" i="1" s="1"/>
  <c r="AA137" i="1" l="1"/>
  <c r="R136" i="1" l="1"/>
  <c r="N137" i="1" s="1"/>
  <c r="Z137" i="1" s="1"/>
  <c r="V138" i="1" s="1"/>
  <c r="O137" i="1" l="1"/>
  <c r="P137" i="1" s="1"/>
  <c r="W138" i="1"/>
  <c r="Y138" i="1" l="1"/>
  <c r="X138" i="1"/>
  <c r="Q137" i="1"/>
  <c r="S137" i="1" s="1"/>
  <c r="AA138" i="1" l="1"/>
  <c r="R137" i="1" l="1"/>
  <c r="N138" i="1" s="1"/>
  <c r="Z138" i="1" s="1"/>
  <c r="V139" i="1" s="1"/>
  <c r="O138" i="1" l="1"/>
  <c r="P138" i="1" s="1"/>
  <c r="W139" i="1"/>
  <c r="Y139" i="1" l="1"/>
  <c r="X139" i="1"/>
  <c r="Q138" i="1"/>
  <c r="S138" i="1" s="1"/>
  <c r="AA139" i="1" l="1"/>
  <c r="R138" i="1" l="1"/>
  <c r="N139" i="1" s="1"/>
  <c r="Z139" i="1" s="1"/>
  <c r="V140" i="1" s="1"/>
  <c r="O139" i="1" l="1"/>
  <c r="P139" i="1" s="1"/>
  <c r="W140" i="1"/>
  <c r="Y140" i="1" l="1"/>
  <c r="X140" i="1"/>
  <c r="Q139" i="1"/>
  <c r="S139" i="1" s="1"/>
  <c r="AA140" i="1" l="1"/>
  <c r="R139" i="1" l="1"/>
  <c r="N140" i="1" s="1"/>
  <c r="Z140" i="1" s="1"/>
  <c r="V141" i="1" s="1"/>
  <c r="O140" i="1" l="1"/>
  <c r="P140" i="1" s="1"/>
  <c r="W141" i="1"/>
  <c r="Y141" i="1" l="1"/>
  <c r="X141" i="1"/>
  <c r="Q140" i="1"/>
  <c r="S140" i="1" s="1"/>
  <c r="AA141" i="1" l="1"/>
  <c r="R140" i="1" l="1"/>
  <c r="N141" i="1" s="1"/>
  <c r="Z141" i="1" s="1"/>
  <c r="V142" i="1" s="1"/>
  <c r="O141" i="1" l="1"/>
  <c r="P141" i="1" s="1"/>
  <c r="W142" i="1"/>
  <c r="Y142" i="1" l="1"/>
  <c r="X142" i="1"/>
  <c r="Q141" i="1"/>
  <c r="S141" i="1" s="1"/>
  <c r="AA142" i="1" l="1"/>
  <c r="R141" i="1" l="1"/>
  <c r="N142" i="1" s="1"/>
  <c r="Z142" i="1" s="1"/>
  <c r="V143" i="1" s="1"/>
  <c r="O142" i="1" l="1"/>
  <c r="P142" i="1" s="1"/>
  <c r="W143" i="1"/>
  <c r="Y143" i="1" l="1"/>
  <c r="X143" i="1"/>
  <c r="Q142" i="1"/>
  <c r="S142" i="1" s="1"/>
  <c r="AA143" i="1" l="1"/>
  <c r="R142" i="1" l="1"/>
  <c r="N143" i="1" s="1"/>
  <c r="Z143" i="1" s="1"/>
  <c r="V144" i="1" s="1"/>
  <c r="O143" i="1" l="1"/>
  <c r="P143" i="1" s="1"/>
  <c r="W144" i="1"/>
  <c r="Y144" i="1" l="1"/>
  <c r="X144" i="1"/>
  <c r="Q143" i="1"/>
  <c r="S143" i="1" s="1"/>
  <c r="AA144" i="1" l="1"/>
  <c r="R143" i="1" l="1"/>
  <c r="N144" i="1" s="1"/>
  <c r="Z144" i="1" s="1"/>
  <c r="V145" i="1" s="1"/>
  <c r="O144" i="1" l="1"/>
  <c r="P144" i="1" s="1"/>
  <c r="W145" i="1"/>
  <c r="Y145" i="1" l="1"/>
  <c r="X145" i="1"/>
  <c r="Q144" i="1"/>
  <c r="S144" i="1" s="1"/>
  <c r="AA145" i="1" l="1"/>
  <c r="R144" i="1" l="1"/>
  <c r="N145" i="1" s="1"/>
  <c r="Z145" i="1" s="1"/>
  <c r="V146" i="1" s="1"/>
  <c r="O145" i="1" l="1"/>
  <c r="P145" i="1" s="1"/>
  <c r="W146" i="1"/>
  <c r="Y146" i="1" l="1"/>
  <c r="X146" i="1"/>
  <c r="Q145" i="1"/>
  <c r="S145" i="1" s="1"/>
  <c r="AA146" i="1" l="1"/>
  <c r="R145" i="1" l="1"/>
  <c r="N146" i="1" s="1"/>
  <c r="Z146" i="1" s="1"/>
  <c r="V147" i="1" s="1"/>
  <c r="O146" i="1" l="1"/>
  <c r="P146" i="1" s="1"/>
  <c r="W147" i="1"/>
  <c r="Y147" i="1" l="1"/>
  <c r="X147" i="1"/>
  <c r="Q146" i="1"/>
  <c r="S146" i="1" s="1"/>
  <c r="AA147" i="1" l="1"/>
  <c r="R146" i="1" l="1"/>
  <c r="N147" i="1" s="1"/>
  <c r="Z147" i="1" s="1"/>
  <c r="V148" i="1" s="1"/>
  <c r="O147" i="1" l="1"/>
  <c r="P147" i="1" s="1"/>
  <c r="W148" i="1"/>
  <c r="Y148" i="1" l="1"/>
  <c r="X148" i="1"/>
  <c r="Q147" i="1"/>
  <c r="S147" i="1" s="1"/>
  <c r="AA148" i="1" l="1"/>
  <c r="R147" i="1" l="1"/>
  <c r="N148" i="1" s="1"/>
  <c r="Z148" i="1" s="1"/>
  <c r="V149" i="1" s="1"/>
  <c r="O148" i="1" l="1"/>
  <c r="P148" i="1" s="1"/>
  <c r="W149" i="1"/>
  <c r="Y149" i="1" l="1"/>
  <c r="X149" i="1"/>
  <c r="Q148" i="1"/>
  <c r="S148" i="1" s="1"/>
  <c r="AA149" i="1" l="1"/>
  <c r="R148" i="1" l="1"/>
  <c r="N149" i="1" s="1"/>
  <c r="Z149" i="1" s="1"/>
  <c r="V150" i="1" s="1"/>
  <c r="O149" i="1" l="1"/>
  <c r="P149" i="1" s="1"/>
  <c r="W150" i="1"/>
  <c r="Y150" i="1" l="1"/>
  <c r="X150" i="1"/>
  <c r="Q149" i="1"/>
  <c r="S149" i="1" s="1"/>
  <c r="AA150" i="1" l="1"/>
  <c r="R149" i="1" l="1"/>
  <c r="N150" i="1" s="1"/>
  <c r="Z150" i="1" s="1"/>
  <c r="V151" i="1" s="1"/>
  <c r="O150" i="1" l="1"/>
  <c r="P150" i="1" s="1"/>
  <c r="W151" i="1"/>
  <c r="Y151" i="1" l="1"/>
  <c r="X151" i="1"/>
  <c r="Q150" i="1"/>
  <c r="S150" i="1" s="1"/>
  <c r="AA151" i="1" l="1"/>
  <c r="R150" i="1" l="1"/>
  <c r="N151" i="1" s="1"/>
  <c r="Z151" i="1" s="1"/>
  <c r="V152" i="1" s="1"/>
  <c r="O151" i="1" l="1"/>
  <c r="P151" i="1" s="1"/>
  <c r="W152" i="1"/>
  <c r="Y152" i="1" l="1"/>
  <c r="X152" i="1"/>
  <c r="Q151" i="1"/>
  <c r="S151" i="1" s="1"/>
  <c r="AA152" i="1" l="1"/>
  <c r="R151" i="1" l="1"/>
  <c r="N152" i="1" s="1"/>
  <c r="Z152" i="1" s="1"/>
  <c r="V153" i="1" s="1"/>
  <c r="O152" i="1" l="1"/>
  <c r="P152" i="1" s="1"/>
  <c r="W153" i="1"/>
  <c r="Y153" i="1" l="1"/>
  <c r="X153" i="1"/>
  <c r="Q152" i="1"/>
  <c r="S152" i="1" s="1"/>
  <c r="AA153" i="1" l="1"/>
  <c r="R152" i="1" l="1"/>
  <c r="N153" i="1" s="1"/>
  <c r="Z153" i="1" s="1"/>
  <c r="V154" i="1" s="1"/>
  <c r="O153" i="1" l="1"/>
  <c r="P153" i="1" s="1"/>
  <c r="W154" i="1"/>
  <c r="Y154" i="1" l="1"/>
  <c r="X154" i="1"/>
  <c r="Q153" i="1"/>
  <c r="S153" i="1" s="1"/>
  <c r="AA154" i="1" l="1"/>
  <c r="R153" i="1" l="1"/>
  <c r="N154" i="1" s="1"/>
  <c r="Z154" i="1" s="1"/>
  <c r="V155" i="1" s="1"/>
  <c r="O154" i="1" l="1"/>
  <c r="P154" i="1" s="1"/>
  <c r="W155" i="1"/>
  <c r="Y155" i="1" l="1"/>
  <c r="X155" i="1"/>
  <c r="Q154" i="1"/>
  <c r="S154" i="1" s="1"/>
  <c r="AA155" i="1" l="1"/>
  <c r="R154" i="1" l="1"/>
  <c r="N155" i="1" s="1"/>
  <c r="Z155" i="1" s="1"/>
  <c r="V156" i="1" s="1"/>
  <c r="O155" i="1" l="1"/>
  <c r="P155" i="1" s="1"/>
  <c r="W156" i="1"/>
  <c r="Y156" i="1" l="1"/>
  <c r="X156" i="1"/>
  <c r="Q155" i="1"/>
  <c r="S155" i="1" s="1"/>
  <c r="AA156" i="1" l="1"/>
  <c r="R155" i="1" l="1"/>
  <c r="N156" i="1" s="1"/>
  <c r="Z156" i="1" s="1"/>
  <c r="V157" i="1" s="1"/>
  <c r="O156" i="1" l="1"/>
  <c r="P156" i="1" s="1"/>
  <c r="W157" i="1"/>
  <c r="Y157" i="1" l="1"/>
  <c r="X157" i="1"/>
  <c r="Q156" i="1"/>
  <c r="S156" i="1" s="1"/>
  <c r="AA157" i="1" l="1"/>
  <c r="R156" i="1" l="1"/>
  <c r="N157" i="1" s="1"/>
  <c r="Z157" i="1" s="1"/>
  <c r="V158" i="1" s="1"/>
  <c r="O157" i="1" l="1"/>
  <c r="P157" i="1" s="1"/>
  <c r="W158" i="1"/>
  <c r="Y158" i="1" l="1"/>
  <c r="X158" i="1"/>
  <c r="Q157" i="1"/>
  <c r="S157" i="1" s="1"/>
  <c r="AA158" i="1" l="1"/>
  <c r="R157" i="1" l="1"/>
  <c r="N158" i="1" s="1"/>
  <c r="Z158" i="1" s="1"/>
  <c r="V159" i="1" s="1"/>
  <c r="O158" i="1" l="1"/>
  <c r="P158" i="1" s="1"/>
  <c r="W159" i="1"/>
  <c r="Y159" i="1" l="1"/>
  <c r="X159" i="1"/>
  <c r="Q158" i="1"/>
  <c r="S158" i="1" s="1"/>
  <c r="AA159" i="1" l="1"/>
  <c r="R158" i="1" l="1"/>
  <c r="N159" i="1" s="1"/>
  <c r="Z159" i="1" s="1"/>
  <c r="V160" i="1" s="1"/>
  <c r="O159" i="1" l="1"/>
  <c r="P159" i="1" s="1"/>
  <c r="W160" i="1"/>
  <c r="Y160" i="1" l="1"/>
  <c r="X160" i="1"/>
  <c r="Q159" i="1"/>
  <c r="S159" i="1" s="1"/>
  <c r="AA160" i="1" l="1"/>
  <c r="R159" i="1" l="1"/>
  <c r="N160" i="1" s="1"/>
  <c r="Z160" i="1" s="1"/>
  <c r="V161" i="1" s="1"/>
  <c r="O160" i="1" l="1"/>
  <c r="P160" i="1" s="1"/>
  <c r="W161" i="1"/>
  <c r="Y161" i="1" l="1"/>
  <c r="X161" i="1"/>
  <c r="Q160" i="1"/>
  <c r="S160" i="1" s="1"/>
  <c r="AA161" i="1" l="1"/>
  <c r="R160" i="1" l="1"/>
  <c r="N161" i="1" s="1"/>
  <c r="Z161" i="1" s="1"/>
  <c r="V162" i="1" s="1"/>
  <c r="O161" i="1" l="1"/>
  <c r="P161" i="1" s="1"/>
  <c r="W162" i="1"/>
  <c r="Y162" i="1" l="1"/>
  <c r="X162" i="1"/>
  <c r="Q161" i="1"/>
  <c r="S161" i="1" s="1"/>
  <c r="AA162" i="1" l="1"/>
  <c r="R161" i="1" l="1"/>
  <c r="N162" i="1" s="1"/>
  <c r="Z162" i="1" s="1"/>
  <c r="V163" i="1" s="1"/>
  <c r="O162" i="1" l="1"/>
  <c r="P162" i="1" s="1"/>
  <c r="W163" i="1"/>
  <c r="Y163" i="1" l="1"/>
  <c r="X163" i="1"/>
  <c r="Q162" i="1"/>
  <c r="S162" i="1" s="1"/>
  <c r="AA163" i="1" l="1"/>
  <c r="R162" i="1" l="1"/>
  <c r="N163" i="1" s="1"/>
  <c r="Z163" i="1" s="1"/>
  <c r="V164" i="1" s="1"/>
  <c r="O163" i="1" l="1"/>
  <c r="P163" i="1" s="1"/>
  <c r="W164" i="1"/>
  <c r="Y164" i="1" l="1"/>
  <c r="X164" i="1"/>
  <c r="Q163" i="1"/>
  <c r="S163" i="1" s="1"/>
  <c r="AA164" i="1" l="1"/>
  <c r="R163" i="1" l="1"/>
  <c r="N164" i="1" s="1"/>
  <c r="Z164" i="1" s="1"/>
  <c r="V165" i="1" s="1"/>
  <c r="O164" i="1" l="1"/>
  <c r="P164" i="1" s="1"/>
  <c r="W165" i="1"/>
  <c r="Y165" i="1" l="1"/>
  <c r="X165" i="1"/>
  <c r="Q164" i="1"/>
  <c r="S164" i="1" s="1"/>
  <c r="AA165" i="1" l="1"/>
  <c r="R164" i="1"/>
  <c r="N165" i="1" s="1"/>
  <c r="Z165" i="1" s="1"/>
  <c r="V166" i="1" s="1"/>
  <c r="O165" i="1" l="1"/>
  <c r="P165" i="1" s="1"/>
  <c r="W166" i="1"/>
  <c r="Y166" i="1" l="1"/>
  <c r="X166" i="1"/>
  <c r="Q165" i="1"/>
  <c r="S165" i="1" s="1"/>
  <c r="AA166" i="1" l="1"/>
  <c r="R165" i="1" l="1"/>
  <c r="N166" i="1" s="1"/>
  <c r="Z166" i="1" s="1"/>
  <c r="V167" i="1" s="1"/>
  <c r="O166" i="1" l="1"/>
  <c r="P166" i="1" s="1"/>
  <c r="W167" i="1"/>
  <c r="Y167" i="1" l="1"/>
  <c r="X167" i="1"/>
  <c r="Q166" i="1"/>
  <c r="S166" i="1" s="1"/>
  <c r="AA167" i="1" l="1"/>
  <c r="R166" i="1" l="1"/>
  <c r="N167" i="1" s="1"/>
  <c r="Z167" i="1" s="1"/>
  <c r="V168" i="1" s="1"/>
  <c r="O167" i="1" l="1"/>
  <c r="P167" i="1" s="1"/>
  <c r="W168" i="1"/>
  <c r="Y168" i="1" l="1"/>
  <c r="X168" i="1"/>
  <c r="Q167" i="1"/>
  <c r="S167" i="1" s="1"/>
  <c r="AA168" i="1" l="1"/>
  <c r="R167" i="1" l="1"/>
  <c r="N168" i="1" s="1"/>
  <c r="Z168" i="1" s="1"/>
  <c r="V169" i="1" s="1"/>
  <c r="O168" i="1" l="1"/>
  <c r="P168" i="1" s="1"/>
  <c r="W169" i="1"/>
  <c r="Y169" i="1" l="1"/>
  <c r="X169" i="1"/>
  <c r="Q168" i="1"/>
  <c r="S168" i="1" s="1"/>
  <c r="AA169" i="1" l="1"/>
  <c r="R168" i="1" l="1"/>
  <c r="N169" i="1" s="1"/>
  <c r="Z169" i="1" s="1"/>
  <c r="V170" i="1" s="1"/>
  <c r="O169" i="1" l="1"/>
  <c r="P169" i="1" s="1"/>
  <c r="W170" i="1"/>
  <c r="Y170" i="1" l="1"/>
  <c r="X170" i="1"/>
  <c r="Q169" i="1"/>
  <c r="S169" i="1" s="1"/>
  <c r="AA170" i="1" l="1"/>
  <c r="R169" i="1" l="1"/>
  <c r="N170" i="1" s="1"/>
  <c r="Z170" i="1" s="1"/>
  <c r="V171" i="1" s="1"/>
  <c r="O170" i="1" l="1"/>
  <c r="P170" i="1" s="1"/>
  <c r="W171" i="1"/>
  <c r="Y171" i="1" l="1"/>
  <c r="X171" i="1"/>
  <c r="Q170" i="1"/>
  <c r="S170" i="1" s="1"/>
  <c r="AA171" i="1" l="1"/>
  <c r="R170" i="1" l="1"/>
  <c r="N171" i="1" s="1"/>
  <c r="Z171" i="1" s="1"/>
  <c r="V172" i="1" s="1"/>
  <c r="O171" i="1" l="1"/>
  <c r="P171" i="1" s="1"/>
  <c r="W172" i="1"/>
  <c r="Y172" i="1" l="1"/>
  <c r="X172" i="1"/>
  <c r="Q171" i="1"/>
  <c r="S171" i="1" s="1"/>
  <c r="AA172" i="1" l="1"/>
  <c r="R171" i="1" l="1"/>
  <c r="N172" i="1" s="1"/>
  <c r="Z172" i="1" s="1"/>
  <c r="V173" i="1" s="1"/>
  <c r="O172" i="1" l="1"/>
  <c r="P172" i="1" s="1"/>
  <c r="W173" i="1"/>
  <c r="Y173" i="1" l="1"/>
  <c r="X173" i="1"/>
  <c r="Q172" i="1"/>
  <c r="S172" i="1" s="1"/>
  <c r="AA173" i="1" l="1"/>
  <c r="R172" i="1" l="1"/>
  <c r="N173" i="1" s="1"/>
  <c r="Z173" i="1" s="1"/>
  <c r="V174" i="1" s="1"/>
  <c r="O173" i="1" l="1"/>
  <c r="P173" i="1" s="1"/>
  <c r="W174" i="1"/>
  <c r="Y174" i="1" l="1"/>
  <c r="X174" i="1"/>
  <c r="Q173" i="1"/>
  <c r="S173" i="1" s="1"/>
  <c r="AA174" i="1" l="1"/>
  <c r="R173" i="1" l="1"/>
  <c r="N174" i="1" s="1"/>
  <c r="Z174" i="1" s="1"/>
  <c r="V175" i="1" s="1"/>
  <c r="O174" i="1" l="1"/>
  <c r="P174" i="1" s="1"/>
  <c r="W175" i="1"/>
  <c r="Y175" i="1" l="1"/>
  <c r="X175" i="1"/>
  <c r="Q174" i="1"/>
  <c r="S174" i="1" s="1"/>
  <c r="AA175" i="1" l="1"/>
  <c r="R174" i="1" l="1"/>
  <c r="N175" i="1" s="1"/>
  <c r="Z175" i="1" s="1"/>
  <c r="V176" i="1" s="1"/>
  <c r="O175" i="1" l="1"/>
  <c r="P175" i="1" s="1"/>
  <c r="W176" i="1"/>
  <c r="Y176" i="1" l="1"/>
  <c r="X176" i="1"/>
  <c r="Q175" i="1"/>
  <c r="S175" i="1" s="1"/>
  <c r="AA176" i="1" l="1"/>
  <c r="R175" i="1" l="1"/>
  <c r="N176" i="1" s="1"/>
  <c r="Z176" i="1" s="1"/>
  <c r="V177" i="1" s="1"/>
  <c r="O176" i="1" l="1"/>
  <c r="P176" i="1" s="1"/>
  <c r="W177" i="1"/>
  <c r="Y177" i="1" l="1"/>
  <c r="X177" i="1"/>
  <c r="Q176" i="1"/>
  <c r="S176" i="1" s="1"/>
  <c r="AA177" i="1" l="1"/>
  <c r="R176" i="1" l="1"/>
  <c r="N177" i="1" s="1"/>
  <c r="Z177" i="1" s="1"/>
  <c r="V178" i="1" s="1"/>
  <c r="O177" i="1" l="1"/>
  <c r="P177" i="1" s="1"/>
  <c r="W178" i="1"/>
  <c r="Y178" i="1" l="1"/>
  <c r="X178" i="1"/>
  <c r="Q177" i="1"/>
  <c r="S177" i="1" s="1"/>
  <c r="AA178" i="1" l="1"/>
  <c r="R177" i="1" l="1"/>
  <c r="N178" i="1" s="1"/>
  <c r="Z178" i="1" s="1"/>
  <c r="V179" i="1" s="1"/>
  <c r="O178" i="1" l="1"/>
  <c r="P178" i="1" s="1"/>
  <c r="W179" i="1"/>
  <c r="Y179" i="1" l="1"/>
  <c r="X179" i="1"/>
  <c r="Q178" i="1"/>
  <c r="S178" i="1" s="1"/>
  <c r="AA179" i="1" l="1"/>
  <c r="R178" i="1" l="1"/>
  <c r="N179" i="1" s="1"/>
  <c r="Z179" i="1" s="1"/>
  <c r="V180" i="1" s="1"/>
  <c r="O179" i="1" l="1"/>
  <c r="P179" i="1" s="1"/>
  <c r="W180" i="1"/>
  <c r="Y180" i="1" l="1"/>
  <c r="X180" i="1"/>
  <c r="Q179" i="1"/>
  <c r="S179" i="1" s="1"/>
  <c r="AA180" i="1" l="1"/>
  <c r="R179" i="1" l="1"/>
  <c r="N180" i="1" s="1"/>
  <c r="Z180" i="1" s="1"/>
  <c r="V181" i="1" s="1"/>
  <c r="O180" i="1" l="1"/>
  <c r="P180" i="1" s="1"/>
  <c r="W181" i="1"/>
  <c r="Y181" i="1" l="1"/>
  <c r="X181" i="1"/>
  <c r="Q180" i="1"/>
  <c r="S180" i="1" s="1"/>
  <c r="AA181" i="1" l="1"/>
  <c r="R180" i="1" l="1"/>
  <c r="N181" i="1" s="1"/>
  <c r="Z181" i="1" s="1"/>
  <c r="V182" i="1" s="1"/>
  <c r="O181" i="1" l="1"/>
  <c r="P181" i="1" s="1"/>
  <c r="W182" i="1"/>
  <c r="Y182" i="1" l="1"/>
  <c r="X182" i="1"/>
  <c r="Q181" i="1"/>
  <c r="S181" i="1" s="1"/>
  <c r="AA182" i="1" l="1"/>
  <c r="R181" i="1" l="1"/>
  <c r="N182" i="1" s="1"/>
  <c r="Z182" i="1" s="1"/>
  <c r="V183" i="1" s="1"/>
  <c r="O182" i="1" l="1"/>
  <c r="P182" i="1" s="1"/>
  <c r="W183" i="1"/>
  <c r="Y183" i="1" l="1"/>
  <c r="X183" i="1"/>
  <c r="Q182" i="1"/>
  <c r="S182" i="1" s="1"/>
  <c r="AA183" i="1" l="1"/>
  <c r="R182" i="1" l="1"/>
  <c r="N183" i="1" s="1"/>
  <c r="Z183" i="1" s="1"/>
  <c r="V184" i="1" s="1"/>
  <c r="O183" i="1" l="1"/>
  <c r="P183" i="1" s="1"/>
  <c r="W184" i="1"/>
  <c r="Y184" i="1" l="1"/>
  <c r="X184" i="1"/>
  <c r="Q183" i="1"/>
  <c r="S183" i="1" s="1"/>
  <c r="AA184" i="1" l="1"/>
  <c r="R183" i="1" l="1"/>
  <c r="N184" i="1" s="1"/>
  <c r="Z184" i="1" s="1"/>
  <c r="V185" i="1" s="1"/>
  <c r="O184" i="1" l="1"/>
  <c r="P184" i="1" s="1"/>
  <c r="W185" i="1"/>
  <c r="Y185" i="1" l="1"/>
  <c r="X185" i="1"/>
  <c r="Q184" i="1"/>
  <c r="S184" i="1" s="1"/>
  <c r="AA185" i="1" l="1"/>
  <c r="R184" i="1" l="1"/>
  <c r="N185" i="1" s="1"/>
  <c r="Z185" i="1" s="1"/>
  <c r="V186" i="1" s="1"/>
  <c r="O185" i="1" l="1"/>
  <c r="P185" i="1" s="1"/>
  <c r="W186" i="1"/>
  <c r="Y186" i="1" l="1"/>
  <c r="X186" i="1"/>
  <c r="Q185" i="1"/>
  <c r="S185" i="1" s="1"/>
  <c r="AA186" i="1" l="1"/>
  <c r="R185" i="1" l="1"/>
  <c r="N186" i="1" s="1"/>
  <c r="Z186" i="1" s="1"/>
  <c r="V187" i="1" s="1"/>
  <c r="O186" i="1" l="1"/>
  <c r="P186" i="1" s="1"/>
  <c r="W187" i="1"/>
  <c r="Y187" i="1" l="1"/>
  <c r="X187" i="1"/>
  <c r="Q186" i="1"/>
  <c r="S186" i="1" s="1"/>
  <c r="AA187" i="1" l="1"/>
  <c r="R186" i="1" l="1"/>
  <c r="N187" i="1" s="1"/>
  <c r="Z187" i="1" s="1"/>
  <c r="V188" i="1" s="1"/>
  <c r="O187" i="1" l="1"/>
  <c r="P187" i="1" s="1"/>
  <c r="W188" i="1"/>
  <c r="Y188" i="1" l="1"/>
  <c r="X188" i="1"/>
  <c r="Q187" i="1"/>
  <c r="S187" i="1" s="1"/>
  <c r="AA188" i="1" l="1"/>
  <c r="R187" i="1" l="1"/>
  <c r="N188" i="1" s="1"/>
  <c r="Z188" i="1" s="1"/>
  <c r="V189" i="1" s="1"/>
  <c r="O188" i="1" l="1"/>
  <c r="P188" i="1" s="1"/>
  <c r="W189" i="1"/>
  <c r="Y189" i="1" l="1"/>
  <c r="X189" i="1"/>
  <c r="Q188" i="1"/>
  <c r="S188" i="1" s="1"/>
  <c r="AA189" i="1" l="1"/>
  <c r="R188" i="1" l="1"/>
  <c r="N189" i="1" s="1"/>
  <c r="Z189" i="1" s="1"/>
  <c r="V190" i="1" s="1"/>
  <c r="O189" i="1" l="1"/>
  <c r="P189" i="1" s="1"/>
  <c r="W190" i="1"/>
  <c r="Y190" i="1" l="1"/>
  <c r="X190" i="1"/>
  <c r="Q189" i="1"/>
  <c r="S189" i="1" s="1"/>
  <c r="AA190" i="1" l="1"/>
  <c r="R189" i="1" l="1"/>
  <c r="N190" i="1" s="1"/>
  <c r="Z190" i="1" s="1"/>
  <c r="V191" i="1" s="1"/>
  <c r="O190" i="1" l="1"/>
  <c r="P190" i="1" s="1"/>
  <c r="W191" i="1"/>
  <c r="Y191" i="1" l="1"/>
  <c r="X191" i="1"/>
  <c r="Q190" i="1"/>
  <c r="S190" i="1" s="1"/>
  <c r="AA191" i="1" l="1"/>
  <c r="R190" i="1" l="1"/>
  <c r="N191" i="1" s="1"/>
  <c r="Z191" i="1" s="1"/>
  <c r="V192" i="1" s="1"/>
  <c r="O191" i="1" l="1"/>
  <c r="P191" i="1" s="1"/>
  <c r="W192" i="1"/>
  <c r="Y192" i="1" l="1"/>
  <c r="X192" i="1"/>
  <c r="Q191" i="1"/>
  <c r="S191" i="1" s="1"/>
  <c r="AA192" i="1" l="1"/>
  <c r="R191" i="1" l="1"/>
  <c r="N192" i="1" s="1"/>
  <c r="Z192" i="1" s="1"/>
  <c r="V193" i="1" s="1"/>
  <c r="O192" i="1" l="1"/>
  <c r="P192" i="1" s="1"/>
  <c r="W193" i="1"/>
  <c r="Y193" i="1" l="1"/>
  <c r="X193" i="1"/>
  <c r="Q192" i="1"/>
  <c r="S192" i="1" s="1"/>
  <c r="AA193" i="1" l="1"/>
  <c r="R192" i="1" l="1"/>
  <c r="N193" i="1" s="1"/>
  <c r="Z193" i="1" s="1"/>
  <c r="V194" i="1" s="1"/>
  <c r="O193" i="1" l="1"/>
  <c r="P193" i="1" s="1"/>
  <c r="W194" i="1"/>
  <c r="Y194" i="1" l="1"/>
  <c r="X194" i="1"/>
  <c r="Q193" i="1"/>
  <c r="S193" i="1" l="1"/>
  <c r="AA194" i="1"/>
  <c r="R193" i="1" l="1"/>
  <c r="N194" i="1" s="1"/>
  <c r="Z194" i="1" s="1"/>
  <c r="V195" i="1" s="1"/>
  <c r="O194" i="1" l="1"/>
  <c r="P194" i="1" s="1"/>
  <c r="W195" i="1"/>
  <c r="Y195" i="1" l="1"/>
  <c r="X195" i="1"/>
  <c r="Q194" i="1"/>
  <c r="S194" i="1" s="1"/>
  <c r="AA195" i="1" l="1"/>
  <c r="R194" i="1" l="1"/>
  <c r="N195" i="1" s="1"/>
  <c r="Z195" i="1" s="1"/>
  <c r="V196" i="1" s="1"/>
  <c r="O195" i="1" l="1"/>
  <c r="P195" i="1" s="1"/>
  <c r="W196" i="1"/>
  <c r="Y196" i="1" l="1"/>
  <c r="X196" i="1"/>
  <c r="Q195" i="1"/>
  <c r="S195" i="1" s="1"/>
  <c r="AA196" i="1" l="1"/>
  <c r="R195" i="1" l="1"/>
  <c r="N196" i="1" s="1"/>
  <c r="Z196" i="1" s="1"/>
  <c r="V197" i="1" s="1"/>
  <c r="O196" i="1" l="1"/>
  <c r="P196" i="1" s="1"/>
  <c r="W197" i="1"/>
  <c r="Y197" i="1" l="1"/>
  <c r="X197" i="1"/>
  <c r="Q196" i="1"/>
  <c r="S196" i="1" s="1"/>
  <c r="AA197" i="1" l="1"/>
  <c r="R196" i="1" l="1"/>
  <c r="N197" i="1" s="1"/>
  <c r="Z197" i="1" s="1"/>
  <c r="V198" i="1" s="1"/>
  <c r="O197" i="1" l="1"/>
  <c r="P197" i="1" s="1"/>
  <c r="W198" i="1"/>
  <c r="Y198" i="1" l="1"/>
  <c r="X198" i="1"/>
  <c r="Q197" i="1"/>
  <c r="S197" i="1" s="1"/>
  <c r="AA198" i="1" l="1"/>
  <c r="R197" i="1" l="1"/>
  <c r="N198" i="1" s="1"/>
  <c r="Z198" i="1" s="1"/>
  <c r="V199" i="1" s="1"/>
  <c r="O198" i="1" l="1"/>
  <c r="P198" i="1" s="1"/>
  <c r="W199" i="1"/>
  <c r="Y199" i="1" l="1"/>
  <c r="X199" i="1"/>
  <c r="Q198" i="1"/>
  <c r="S198" i="1" s="1"/>
  <c r="AA199" i="1" l="1"/>
  <c r="R198" i="1" l="1"/>
  <c r="N199" i="1" s="1"/>
  <c r="Z199" i="1" s="1"/>
  <c r="V200" i="1" s="1"/>
  <c r="O199" i="1" l="1"/>
  <c r="P199" i="1" s="1"/>
  <c r="W200" i="1"/>
  <c r="Y200" i="1" l="1"/>
  <c r="X200" i="1"/>
  <c r="Q199" i="1"/>
  <c r="S199" i="1" s="1"/>
  <c r="AA200" i="1" l="1"/>
  <c r="R199" i="1" l="1"/>
  <c r="N200" i="1" s="1"/>
  <c r="Z200" i="1" s="1"/>
  <c r="V201" i="1" s="1"/>
  <c r="O200" i="1" l="1"/>
  <c r="P200" i="1" s="1"/>
  <c r="W201" i="1"/>
  <c r="Y201" i="1" l="1"/>
  <c r="X201" i="1"/>
  <c r="Q200" i="1"/>
  <c r="S200" i="1" s="1"/>
  <c r="AA201" i="1" l="1"/>
  <c r="R200" i="1" l="1"/>
  <c r="N201" i="1" s="1"/>
  <c r="Z201" i="1" s="1"/>
  <c r="V202" i="1" s="1"/>
  <c r="O201" i="1" l="1"/>
  <c r="P201" i="1" s="1"/>
  <c r="W202" i="1"/>
  <c r="Y202" i="1" l="1"/>
  <c r="X202" i="1"/>
  <c r="Q201" i="1"/>
  <c r="S201" i="1" s="1"/>
  <c r="AA202" i="1" l="1"/>
  <c r="R201" i="1" l="1"/>
  <c r="N202" i="1" s="1"/>
  <c r="Z202" i="1" s="1"/>
  <c r="V203" i="1" s="1"/>
  <c r="O202" i="1" l="1"/>
  <c r="P202" i="1" s="1"/>
  <c r="W203" i="1"/>
  <c r="Y203" i="1" l="1"/>
  <c r="X203" i="1"/>
  <c r="Q202" i="1"/>
  <c r="S202" i="1" s="1"/>
  <c r="AA203" i="1" l="1"/>
  <c r="R202" i="1" l="1"/>
  <c r="N203" i="1" s="1"/>
  <c r="Z203" i="1" s="1"/>
  <c r="V204" i="1" s="1"/>
  <c r="O203" i="1" l="1"/>
  <c r="P203" i="1" s="1"/>
  <c r="W204" i="1"/>
  <c r="Y204" i="1" l="1"/>
  <c r="X204" i="1"/>
  <c r="Q203" i="1"/>
  <c r="S203" i="1" s="1"/>
  <c r="AA204" i="1" l="1"/>
  <c r="R203" i="1" l="1"/>
  <c r="N204" i="1" s="1"/>
  <c r="Z204" i="1" s="1"/>
  <c r="V205" i="1" s="1"/>
  <c r="O204" i="1" l="1"/>
  <c r="P204" i="1" s="1"/>
  <c r="W205" i="1"/>
  <c r="Y205" i="1" l="1"/>
  <c r="X205" i="1"/>
  <c r="Q204" i="1"/>
  <c r="S204" i="1" l="1"/>
  <c r="AA205" i="1"/>
  <c r="R204" i="1" l="1"/>
  <c r="N205" i="1" s="1"/>
  <c r="Z205" i="1" s="1"/>
  <c r="V206" i="1" s="1"/>
  <c r="O205" i="1" l="1"/>
  <c r="P205" i="1" s="1"/>
  <c r="W206" i="1"/>
  <c r="Y206" i="1" l="1"/>
  <c r="X206" i="1"/>
  <c r="Q205" i="1"/>
  <c r="S205" i="1" s="1"/>
  <c r="AA206" i="1" l="1"/>
  <c r="R205" i="1" l="1"/>
  <c r="N206" i="1" s="1"/>
  <c r="Z206" i="1" s="1"/>
  <c r="V207" i="1" s="1"/>
  <c r="O206" i="1" l="1"/>
  <c r="P206" i="1" s="1"/>
  <c r="W207" i="1"/>
  <c r="Y207" i="1" l="1"/>
  <c r="X207" i="1"/>
  <c r="Q206" i="1"/>
  <c r="S206" i="1" s="1"/>
  <c r="AA207" i="1" l="1"/>
  <c r="R206" i="1" l="1"/>
  <c r="N207" i="1" s="1"/>
  <c r="Z207" i="1" s="1"/>
  <c r="V208" i="1" s="1"/>
  <c r="O207" i="1" l="1"/>
  <c r="P207" i="1" s="1"/>
  <c r="W208" i="1"/>
  <c r="Y208" i="1" l="1"/>
  <c r="X208" i="1"/>
  <c r="Q207" i="1"/>
  <c r="S207" i="1" s="1"/>
  <c r="AA208" i="1" l="1"/>
  <c r="R207" i="1" l="1"/>
  <c r="N208" i="1" s="1"/>
  <c r="Z208" i="1" s="1"/>
  <c r="V209" i="1" s="1"/>
  <c r="O208" i="1" l="1"/>
  <c r="P208" i="1" s="1"/>
  <c r="W209" i="1"/>
  <c r="Y209" i="1" l="1"/>
  <c r="X209" i="1"/>
  <c r="Q208" i="1"/>
  <c r="S208" i="1" s="1"/>
  <c r="AA209" i="1" l="1"/>
  <c r="R208" i="1" l="1"/>
  <c r="N209" i="1" s="1"/>
  <c r="Z209" i="1" s="1"/>
  <c r="V210" i="1" s="1"/>
  <c r="O209" i="1" l="1"/>
  <c r="P209" i="1" s="1"/>
  <c r="W210" i="1"/>
  <c r="Y210" i="1" l="1"/>
  <c r="X210" i="1"/>
  <c r="Q209" i="1"/>
  <c r="S209" i="1" s="1"/>
  <c r="AA210" i="1" l="1"/>
  <c r="R209" i="1" l="1"/>
  <c r="N210" i="1" s="1"/>
  <c r="Z210" i="1" s="1"/>
  <c r="V211" i="1" s="1"/>
  <c r="O210" i="1" l="1"/>
  <c r="P210" i="1" s="1"/>
  <c r="W211" i="1"/>
  <c r="Y211" i="1" l="1"/>
  <c r="X211" i="1"/>
  <c r="Q210" i="1"/>
  <c r="S210" i="1" s="1"/>
  <c r="AA211" i="1" l="1"/>
  <c r="R210" i="1" l="1"/>
  <c r="N211" i="1" s="1"/>
  <c r="Z211" i="1" s="1"/>
  <c r="V212" i="1" s="1"/>
  <c r="O211" i="1" l="1"/>
  <c r="P211" i="1" s="1"/>
  <c r="W212" i="1"/>
  <c r="Y212" i="1" l="1"/>
  <c r="X212" i="1"/>
  <c r="Q211" i="1"/>
  <c r="S211" i="1" s="1"/>
  <c r="AA212" i="1" l="1"/>
  <c r="R211" i="1" l="1"/>
  <c r="N212" i="1" s="1"/>
  <c r="Z212" i="1" s="1"/>
  <c r="V213" i="1" s="1"/>
  <c r="O212" i="1" l="1"/>
  <c r="P212" i="1" s="1"/>
  <c r="W213" i="1"/>
  <c r="Y213" i="1" l="1"/>
  <c r="X213" i="1"/>
  <c r="Q212" i="1"/>
  <c r="S212" i="1" s="1"/>
  <c r="AA213" i="1" l="1"/>
  <c r="R212" i="1" l="1"/>
  <c r="N213" i="1" s="1"/>
  <c r="Z213" i="1" s="1"/>
  <c r="V214" i="1" s="1"/>
  <c r="O213" i="1" l="1"/>
  <c r="P213" i="1" s="1"/>
  <c r="W214" i="1"/>
  <c r="Y214" i="1" l="1"/>
  <c r="X214" i="1"/>
  <c r="Q213" i="1"/>
  <c r="S213" i="1" s="1"/>
  <c r="AA214" i="1" l="1"/>
  <c r="R213" i="1" l="1"/>
  <c r="N214" i="1" s="1"/>
  <c r="Z214" i="1" s="1"/>
  <c r="V215" i="1" s="1"/>
  <c r="O214" i="1" l="1"/>
  <c r="P214" i="1" s="1"/>
  <c r="W215" i="1"/>
  <c r="Y215" i="1" l="1"/>
  <c r="X215" i="1"/>
  <c r="Q214" i="1"/>
  <c r="S214" i="1" s="1"/>
  <c r="AA215" i="1" l="1"/>
  <c r="R214" i="1" l="1"/>
  <c r="N215" i="1" s="1"/>
  <c r="Z215" i="1" s="1"/>
  <c r="V216" i="1" s="1"/>
  <c r="O215" i="1" l="1"/>
  <c r="P215" i="1" s="1"/>
  <c r="W216" i="1"/>
  <c r="Y216" i="1" l="1"/>
  <c r="X216" i="1"/>
  <c r="Q215" i="1"/>
  <c r="S215" i="1" s="1"/>
  <c r="AA216" i="1" l="1"/>
  <c r="R215" i="1" l="1"/>
  <c r="N216" i="1" s="1"/>
  <c r="Z216" i="1" s="1"/>
  <c r="V217" i="1" s="1"/>
  <c r="O216" i="1" l="1"/>
  <c r="P216" i="1" s="1"/>
  <c r="W217" i="1"/>
  <c r="Y217" i="1" l="1"/>
  <c r="X217" i="1"/>
  <c r="Q216" i="1"/>
  <c r="S216" i="1" s="1"/>
  <c r="AA217" i="1" l="1"/>
  <c r="R216" i="1" l="1"/>
  <c r="N217" i="1" s="1"/>
  <c r="Z217" i="1" s="1"/>
  <c r="V218" i="1" s="1"/>
  <c r="O217" i="1" l="1"/>
  <c r="P217" i="1" s="1"/>
  <c r="W218" i="1"/>
  <c r="Y218" i="1" l="1"/>
  <c r="X218" i="1"/>
  <c r="Q217" i="1"/>
  <c r="S217" i="1" s="1"/>
  <c r="AA218" i="1" l="1"/>
  <c r="R217" i="1" l="1"/>
  <c r="N218" i="1" s="1"/>
  <c r="Z218" i="1" s="1"/>
  <c r="V219" i="1" s="1"/>
  <c r="O218" i="1" l="1"/>
  <c r="P218" i="1" s="1"/>
  <c r="W219" i="1"/>
  <c r="Y219" i="1" l="1"/>
  <c r="X219" i="1"/>
  <c r="Q218" i="1"/>
  <c r="S218" i="1" s="1"/>
  <c r="AA219" i="1" l="1"/>
  <c r="R218" i="1" l="1"/>
  <c r="N219" i="1" s="1"/>
  <c r="Z219" i="1" s="1"/>
  <c r="V220" i="1" s="1"/>
  <c r="O219" i="1" l="1"/>
  <c r="P219" i="1" s="1"/>
  <c r="W220" i="1"/>
  <c r="Y220" i="1" l="1"/>
  <c r="X220" i="1"/>
  <c r="Q219" i="1"/>
  <c r="S219" i="1" s="1"/>
  <c r="AA220" i="1" l="1"/>
  <c r="R219" i="1" l="1"/>
  <c r="N220" i="1" s="1"/>
  <c r="Z220" i="1" s="1"/>
  <c r="V221" i="1" s="1"/>
  <c r="O220" i="1" l="1"/>
  <c r="P220" i="1" s="1"/>
  <c r="W221" i="1"/>
  <c r="Y221" i="1" l="1"/>
  <c r="X221" i="1"/>
  <c r="Q220" i="1"/>
  <c r="S220" i="1" s="1"/>
  <c r="AA221" i="1" l="1"/>
  <c r="R220" i="1" l="1"/>
  <c r="N221" i="1" s="1"/>
  <c r="Z221" i="1" s="1"/>
  <c r="V222" i="1" s="1"/>
  <c r="O221" i="1" l="1"/>
  <c r="P221" i="1" s="1"/>
  <c r="W222" i="1"/>
  <c r="Y222" i="1" l="1"/>
  <c r="X222" i="1"/>
  <c r="Q221" i="1"/>
  <c r="S221" i="1" s="1"/>
  <c r="AA222" i="1" l="1"/>
  <c r="R221" i="1" l="1"/>
  <c r="N222" i="1" s="1"/>
  <c r="Z222" i="1" s="1"/>
  <c r="V223" i="1" s="1"/>
  <c r="O222" i="1" l="1"/>
  <c r="P222" i="1" s="1"/>
  <c r="W223" i="1"/>
  <c r="Y223" i="1" l="1"/>
  <c r="X223" i="1"/>
  <c r="Q222" i="1"/>
  <c r="S222" i="1" s="1"/>
  <c r="AA223" i="1" l="1"/>
  <c r="R222" i="1" l="1"/>
  <c r="N223" i="1" s="1"/>
  <c r="Z223" i="1" s="1"/>
  <c r="V224" i="1" s="1"/>
  <c r="O223" i="1" l="1"/>
  <c r="P223" i="1" s="1"/>
  <c r="W224" i="1"/>
  <c r="Y224" i="1" l="1"/>
  <c r="X224" i="1"/>
  <c r="Q223" i="1"/>
  <c r="S223" i="1" s="1"/>
  <c r="AA224" i="1" l="1"/>
  <c r="R223" i="1" l="1"/>
  <c r="N224" i="1" s="1"/>
  <c r="Z224" i="1" s="1"/>
  <c r="V225" i="1" s="1"/>
  <c r="O224" i="1" l="1"/>
  <c r="P224" i="1" s="1"/>
  <c r="W225" i="1"/>
  <c r="Y225" i="1" l="1"/>
  <c r="X225" i="1"/>
  <c r="Q224" i="1"/>
  <c r="S224" i="1" s="1"/>
  <c r="AA225" i="1" l="1"/>
  <c r="R224" i="1" l="1"/>
  <c r="N225" i="1" s="1"/>
  <c r="Z225" i="1" s="1"/>
  <c r="V226" i="1" s="1"/>
  <c r="O225" i="1" l="1"/>
  <c r="P225" i="1" s="1"/>
  <c r="W226" i="1"/>
  <c r="Y226" i="1" l="1"/>
  <c r="X226" i="1"/>
  <c r="Q225" i="1"/>
  <c r="S225" i="1" s="1"/>
  <c r="AA226" i="1" l="1"/>
  <c r="R225" i="1" l="1"/>
  <c r="N226" i="1" s="1"/>
  <c r="Z226" i="1" s="1"/>
  <c r="V227" i="1" s="1"/>
  <c r="O226" i="1" l="1"/>
  <c r="P226" i="1" s="1"/>
  <c r="W227" i="1"/>
  <c r="Y227" i="1" l="1"/>
  <c r="X227" i="1"/>
  <c r="Q226" i="1"/>
  <c r="S226" i="1" s="1"/>
  <c r="AA227" i="1" l="1"/>
  <c r="R226" i="1" l="1"/>
  <c r="N227" i="1" s="1"/>
  <c r="Z227" i="1" s="1"/>
  <c r="V228" i="1" s="1"/>
  <c r="O227" i="1" l="1"/>
  <c r="P227" i="1" s="1"/>
  <c r="W228" i="1"/>
  <c r="Y228" i="1" l="1"/>
  <c r="X228" i="1"/>
  <c r="Q227" i="1"/>
  <c r="S227" i="1" s="1"/>
  <c r="AA228" i="1" l="1"/>
  <c r="R227" i="1" l="1"/>
  <c r="N228" i="1" s="1"/>
  <c r="Z228" i="1" s="1"/>
  <c r="V229" i="1" s="1"/>
  <c r="O228" i="1" l="1"/>
  <c r="P228" i="1" s="1"/>
  <c r="W229" i="1"/>
  <c r="Y229" i="1" l="1"/>
  <c r="X229" i="1"/>
  <c r="Q228" i="1"/>
  <c r="S228" i="1" s="1"/>
  <c r="AA229" i="1" l="1"/>
  <c r="R228" i="1" l="1"/>
  <c r="N229" i="1" s="1"/>
  <c r="Z229" i="1" s="1"/>
  <c r="V230" i="1" s="1"/>
  <c r="O229" i="1" l="1"/>
  <c r="P229" i="1" s="1"/>
  <c r="W230" i="1"/>
  <c r="Y230" i="1" l="1"/>
  <c r="X230" i="1"/>
  <c r="Q229" i="1"/>
  <c r="S229" i="1" s="1"/>
  <c r="AA230" i="1" l="1"/>
  <c r="R229" i="1" l="1"/>
  <c r="N230" i="1" s="1"/>
  <c r="Z230" i="1" s="1"/>
  <c r="V231" i="1" s="1"/>
  <c r="O230" i="1" l="1"/>
  <c r="P230" i="1" s="1"/>
  <c r="W231" i="1"/>
  <c r="Y231" i="1" l="1"/>
  <c r="X231" i="1"/>
  <c r="Q230" i="1"/>
  <c r="S230" i="1" s="1"/>
  <c r="AA231" i="1" l="1"/>
  <c r="R230" i="1" l="1"/>
  <c r="N231" i="1" s="1"/>
  <c r="Z231" i="1" s="1"/>
  <c r="V232" i="1" s="1"/>
  <c r="O231" i="1" l="1"/>
  <c r="P231" i="1" s="1"/>
  <c r="W232" i="1"/>
  <c r="Y232" i="1" l="1"/>
  <c r="X232" i="1"/>
  <c r="Q231" i="1"/>
  <c r="S231" i="1" s="1"/>
  <c r="AA232" i="1" l="1"/>
  <c r="R231" i="1" l="1"/>
  <c r="N232" i="1" s="1"/>
  <c r="Z232" i="1" s="1"/>
  <c r="V233" i="1" s="1"/>
  <c r="O232" i="1" l="1"/>
  <c r="P232" i="1" s="1"/>
  <c r="W233" i="1"/>
  <c r="Y233" i="1" l="1"/>
  <c r="X233" i="1"/>
  <c r="Q232" i="1"/>
  <c r="S232" i="1" s="1"/>
  <c r="AA233" i="1" l="1"/>
  <c r="R232" i="1" l="1"/>
  <c r="N233" i="1" s="1"/>
  <c r="Z233" i="1" s="1"/>
  <c r="V234" i="1" s="1"/>
  <c r="O233" i="1" l="1"/>
  <c r="P233" i="1" s="1"/>
  <c r="W234" i="1"/>
  <c r="Y234" i="1" l="1"/>
  <c r="X234" i="1"/>
  <c r="Q233" i="1"/>
  <c r="S233" i="1" s="1"/>
  <c r="AA234" i="1" l="1"/>
  <c r="R233" i="1" l="1"/>
  <c r="N234" i="1" s="1"/>
  <c r="Z234" i="1" s="1"/>
  <c r="V235" i="1" s="1"/>
  <c r="O234" i="1" l="1"/>
  <c r="P234" i="1" s="1"/>
  <c r="W235" i="1"/>
  <c r="Y235" i="1" l="1"/>
  <c r="X235" i="1"/>
  <c r="Q234" i="1"/>
  <c r="S234" i="1" s="1"/>
  <c r="AA235" i="1" l="1"/>
  <c r="R234" i="1" l="1"/>
  <c r="N235" i="1" s="1"/>
  <c r="Z235" i="1" s="1"/>
  <c r="V236" i="1" s="1"/>
  <c r="O235" i="1" l="1"/>
  <c r="P235" i="1" s="1"/>
  <c r="W236" i="1"/>
  <c r="Y236" i="1" l="1"/>
  <c r="X236" i="1"/>
  <c r="Q235" i="1"/>
  <c r="S235" i="1" s="1"/>
  <c r="AA236" i="1" l="1"/>
  <c r="R235" i="1" l="1"/>
  <c r="N236" i="1" s="1"/>
  <c r="Z236" i="1" s="1"/>
  <c r="V237" i="1" s="1"/>
  <c r="O236" i="1" l="1"/>
  <c r="P236" i="1" s="1"/>
  <c r="W237" i="1"/>
  <c r="Y237" i="1" l="1"/>
  <c r="X237" i="1"/>
  <c r="Q236" i="1"/>
  <c r="S236" i="1" s="1"/>
  <c r="AA237" i="1" l="1"/>
  <c r="R236" i="1" l="1"/>
  <c r="N237" i="1" s="1"/>
  <c r="Z237" i="1" s="1"/>
  <c r="V238" i="1" s="1"/>
  <c r="O237" i="1" l="1"/>
  <c r="P237" i="1" s="1"/>
  <c r="W238" i="1"/>
  <c r="Y238" i="1" l="1"/>
  <c r="X238" i="1"/>
  <c r="Q237" i="1"/>
  <c r="S237" i="1" s="1"/>
  <c r="AA238" i="1" l="1"/>
  <c r="R237" i="1" l="1"/>
  <c r="N238" i="1" s="1"/>
  <c r="Z238" i="1" s="1"/>
  <c r="V239" i="1" s="1"/>
  <c r="O238" i="1" l="1"/>
  <c r="P238" i="1" s="1"/>
  <c r="W239" i="1"/>
  <c r="Y239" i="1" l="1"/>
  <c r="X239" i="1"/>
  <c r="Q238" i="1"/>
  <c r="S238" i="1" s="1"/>
  <c r="AA239" i="1" l="1"/>
  <c r="R238" i="1" l="1"/>
  <c r="N239" i="1" s="1"/>
  <c r="Z239" i="1" s="1"/>
  <c r="V240" i="1" s="1"/>
  <c r="O239" i="1" l="1"/>
  <c r="P239" i="1" s="1"/>
  <c r="W240" i="1"/>
  <c r="Y240" i="1" l="1"/>
  <c r="X240" i="1"/>
  <c r="Q239" i="1"/>
  <c r="S239" i="1" s="1"/>
  <c r="AA240" i="1" l="1"/>
  <c r="R239" i="1" l="1"/>
  <c r="N240" i="1" s="1"/>
  <c r="Z240" i="1" s="1"/>
  <c r="V241" i="1" s="1"/>
  <c r="O240" i="1" l="1"/>
  <c r="P240" i="1" s="1"/>
  <c r="W241" i="1"/>
  <c r="Y241" i="1" l="1"/>
  <c r="X241" i="1"/>
  <c r="Q240" i="1"/>
  <c r="S240" i="1" s="1"/>
  <c r="AA241" i="1" l="1"/>
  <c r="R240" i="1" l="1"/>
  <c r="N241" i="1" s="1"/>
  <c r="Z241" i="1" s="1"/>
  <c r="V242" i="1" s="1"/>
  <c r="O241" i="1" l="1"/>
  <c r="P241" i="1" s="1"/>
  <c r="W242" i="1"/>
  <c r="Y242" i="1" l="1"/>
  <c r="X242" i="1"/>
  <c r="Q241" i="1"/>
  <c r="S241" i="1" s="1"/>
  <c r="AA242" i="1" l="1"/>
  <c r="R241" i="1" l="1"/>
  <c r="N242" i="1" s="1"/>
  <c r="Z242" i="1" s="1"/>
  <c r="V243" i="1" s="1"/>
  <c r="O242" i="1" l="1"/>
  <c r="P242" i="1" s="1"/>
  <c r="W243" i="1"/>
  <c r="Y243" i="1" l="1"/>
  <c r="X243" i="1"/>
  <c r="Q242" i="1"/>
  <c r="S242" i="1" l="1"/>
  <c r="AA243" i="1"/>
  <c r="R242" i="1" l="1"/>
  <c r="N243" i="1" s="1"/>
  <c r="Z243" i="1" s="1"/>
  <c r="V244" i="1" s="1"/>
  <c r="O243" i="1" l="1"/>
  <c r="P243" i="1" s="1"/>
  <c r="W244" i="1"/>
  <c r="Y244" i="1" l="1"/>
  <c r="X244" i="1"/>
  <c r="Q243" i="1"/>
  <c r="S243" i="1" s="1"/>
  <c r="AA244" i="1" l="1"/>
  <c r="R243" i="1" l="1"/>
  <c r="N244" i="1" s="1"/>
  <c r="Z244" i="1" l="1"/>
  <c r="V245" i="1" s="1"/>
  <c r="W245" i="1" s="1"/>
  <c r="O244" i="1"/>
  <c r="P244" i="1" s="1"/>
  <c r="Y245" i="1" l="1"/>
  <c r="X245" i="1"/>
  <c r="Q244" i="1"/>
  <c r="S244" i="1" s="1"/>
  <c r="AA245" i="1" l="1"/>
  <c r="R244" i="1" l="1"/>
  <c r="N245" i="1" s="1"/>
  <c r="Z245" i="1" s="1"/>
  <c r="V246" i="1" s="1"/>
  <c r="O245" i="1" l="1"/>
  <c r="P245" i="1" s="1"/>
  <c r="W246" i="1"/>
  <c r="Y246" i="1" l="1"/>
  <c r="X246" i="1"/>
  <c r="Q245" i="1"/>
  <c r="S245" i="1" s="1"/>
  <c r="AA246" i="1" l="1"/>
  <c r="R245" i="1" l="1"/>
  <c r="N246" i="1" s="1"/>
  <c r="Z246" i="1" s="1"/>
  <c r="V247" i="1" s="1"/>
  <c r="O246" i="1" l="1"/>
  <c r="P246" i="1" s="1"/>
  <c r="W247" i="1"/>
  <c r="Y247" i="1" l="1"/>
  <c r="X247" i="1"/>
  <c r="Q246" i="1"/>
  <c r="S246" i="1" s="1"/>
  <c r="AA247" i="1" l="1"/>
  <c r="R246" i="1" l="1"/>
  <c r="N247" i="1" s="1"/>
  <c r="Z247" i="1" s="1"/>
  <c r="V248" i="1" s="1"/>
  <c r="O247" i="1" l="1"/>
  <c r="P247" i="1" s="1"/>
  <c r="W248" i="1"/>
  <c r="Y248" i="1" l="1"/>
  <c r="X248" i="1"/>
  <c r="Q247" i="1"/>
  <c r="S247" i="1" s="1"/>
  <c r="AA248" i="1" l="1"/>
  <c r="R247" i="1" l="1"/>
  <c r="N248" i="1" s="1"/>
  <c r="Z248" i="1" s="1"/>
  <c r="V249" i="1" s="1"/>
  <c r="O248" i="1" l="1"/>
  <c r="P248" i="1" s="1"/>
  <c r="W249" i="1"/>
  <c r="Y249" i="1" l="1"/>
  <c r="X249" i="1"/>
  <c r="Q248" i="1"/>
  <c r="S248" i="1" s="1"/>
  <c r="AA249" i="1" l="1"/>
  <c r="R248" i="1" l="1"/>
  <c r="N249" i="1" s="1"/>
  <c r="Z249" i="1" s="1"/>
  <c r="V250" i="1" s="1"/>
  <c r="O249" i="1" l="1"/>
  <c r="P249" i="1" s="1"/>
  <c r="W250" i="1"/>
  <c r="Y250" i="1" l="1"/>
  <c r="X250" i="1"/>
  <c r="Q249" i="1"/>
  <c r="S249" i="1" s="1"/>
  <c r="AA250" i="1" l="1"/>
  <c r="R249" i="1" l="1"/>
  <c r="N250" i="1" s="1"/>
  <c r="Z250" i="1" s="1"/>
  <c r="V251" i="1" s="1"/>
  <c r="O250" i="1" l="1"/>
  <c r="P250" i="1" s="1"/>
  <c r="W251" i="1"/>
  <c r="Y251" i="1" l="1"/>
  <c r="X251" i="1"/>
  <c r="Q250" i="1"/>
  <c r="S250" i="1" s="1"/>
  <c r="AA251" i="1" l="1"/>
  <c r="R250" i="1" l="1"/>
  <c r="N251" i="1" s="1"/>
  <c r="Z251" i="1" s="1"/>
  <c r="V252" i="1" s="1"/>
  <c r="O251" i="1" l="1"/>
  <c r="P251" i="1" s="1"/>
  <c r="W252" i="1"/>
  <c r="Y252" i="1" l="1"/>
  <c r="X252" i="1"/>
  <c r="Q251" i="1"/>
  <c r="S251" i="1" s="1"/>
  <c r="AA252" i="1" l="1"/>
  <c r="R251" i="1" l="1"/>
  <c r="N252" i="1" s="1"/>
  <c r="Z252" i="1" s="1"/>
  <c r="V253" i="1" s="1"/>
  <c r="O252" i="1" l="1"/>
  <c r="P252" i="1" s="1"/>
  <c r="W253" i="1"/>
  <c r="Y253" i="1" l="1"/>
  <c r="X253" i="1"/>
  <c r="Q252" i="1"/>
  <c r="S252" i="1" s="1"/>
  <c r="AA253" i="1" l="1"/>
  <c r="R252" i="1" l="1"/>
  <c r="N253" i="1" s="1"/>
  <c r="Z253" i="1" s="1"/>
  <c r="V254" i="1" s="1"/>
  <c r="O253" i="1" l="1"/>
  <c r="P253" i="1" s="1"/>
  <c r="W254" i="1"/>
  <c r="Y254" i="1" l="1"/>
  <c r="X254" i="1"/>
  <c r="Q253" i="1"/>
  <c r="S253" i="1" s="1"/>
  <c r="AA254" i="1" l="1"/>
  <c r="R253" i="1" l="1"/>
  <c r="N254" i="1" s="1"/>
  <c r="Z254" i="1" s="1"/>
  <c r="V255" i="1" s="1"/>
  <c r="O254" i="1" l="1"/>
  <c r="P254" i="1" s="1"/>
  <c r="W255" i="1"/>
  <c r="Y255" i="1" l="1"/>
  <c r="X255" i="1"/>
  <c r="Q254" i="1"/>
  <c r="S254" i="1" s="1"/>
  <c r="AA255" i="1" l="1"/>
  <c r="R254" i="1" l="1"/>
  <c r="N255" i="1" s="1"/>
  <c r="Z255" i="1" s="1"/>
  <c r="V256" i="1" s="1"/>
  <c r="O255" i="1" l="1"/>
  <c r="P255" i="1" s="1"/>
  <c r="W256" i="1"/>
  <c r="Y256" i="1" l="1"/>
  <c r="X256" i="1"/>
  <c r="Q255" i="1"/>
  <c r="S255" i="1" s="1"/>
  <c r="AA256" i="1" l="1"/>
  <c r="R255" i="1" l="1"/>
  <c r="N256" i="1" s="1"/>
  <c r="Z256" i="1" s="1"/>
  <c r="V257" i="1" s="1"/>
  <c r="O256" i="1" l="1"/>
  <c r="P256" i="1" s="1"/>
  <c r="W257" i="1"/>
  <c r="Y257" i="1" l="1"/>
  <c r="X257" i="1"/>
  <c r="Q256" i="1"/>
  <c r="S256" i="1" s="1"/>
  <c r="AA257" i="1" l="1"/>
  <c r="R256" i="1" l="1"/>
  <c r="N257" i="1" s="1"/>
  <c r="Z257" i="1" s="1"/>
  <c r="V258" i="1" s="1"/>
  <c r="O257" i="1" l="1"/>
  <c r="P257" i="1" s="1"/>
  <c r="W258" i="1"/>
  <c r="Y258" i="1" l="1"/>
  <c r="X258" i="1"/>
  <c r="Q257" i="1"/>
  <c r="S257" i="1" s="1"/>
  <c r="AA258" i="1" l="1"/>
  <c r="R257" i="1" l="1"/>
  <c r="N258" i="1" s="1"/>
  <c r="Z258" i="1" s="1"/>
  <c r="V259" i="1" s="1"/>
  <c r="O258" i="1" l="1"/>
  <c r="P258" i="1" s="1"/>
  <c r="W259" i="1"/>
  <c r="Y259" i="1" l="1"/>
  <c r="X259" i="1"/>
  <c r="Q258" i="1"/>
  <c r="S258" i="1" s="1"/>
  <c r="AA259" i="1" l="1"/>
  <c r="R258" i="1" l="1"/>
  <c r="N259" i="1" s="1"/>
  <c r="Z259" i="1" s="1"/>
  <c r="V260" i="1" s="1"/>
  <c r="O259" i="1" l="1"/>
  <c r="P259" i="1" s="1"/>
  <c r="W260" i="1"/>
  <c r="Y260" i="1" l="1"/>
  <c r="X260" i="1"/>
  <c r="Q259" i="1"/>
  <c r="S259" i="1" s="1"/>
  <c r="AA260" i="1" l="1"/>
  <c r="R259" i="1" l="1"/>
  <c r="N260" i="1" s="1"/>
  <c r="Z260" i="1" s="1"/>
  <c r="V261" i="1" s="1"/>
  <c r="O260" i="1" l="1"/>
  <c r="P260" i="1" s="1"/>
  <c r="W261" i="1"/>
  <c r="Y261" i="1" l="1"/>
  <c r="X261" i="1"/>
  <c r="Q260" i="1"/>
  <c r="S260" i="1" s="1"/>
  <c r="AA261" i="1" l="1"/>
  <c r="R260" i="1" l="1"/>
  <c r="N261" i="1" s="1"/>
  <c r="Z261" i="1" s="1"/>
  <c r="V262" i="1" s="1"/>
  <c r="O261" i="1" l="1"/>
  <c r="P261" i="1" s="1"/>
  <c r="W262" i="1"/>
  <c r="Y262" i="1" l="1"/>
  <c r="X262" i="1"/>
  <c r="Q261" i="1"/>
  <c r="S261" i="1" s="1"/>
  <c r="AA262" i="1" l="1"/>
  <c r="R261" i="1" l="1"/>
  <c r="N262" i="1" s="1"/>
  <c r="Z262" i="1" s="1"/>
  <c r="V263" i="1" s="1"/>
  <c r="O262" i="1" l="1"/>
  <c r="P262" i="1" s="1"/>
  <c r="W263" i="1"/>
  <c r="Y263" i="1" l="1"/>
  <c r="X263" i="1"/>
  <c r="Q262" i="1"/>
  <c r="S262" i="1" s="1"/>
  <c r="AA263" i="1" l="1"/>
  <c r="R262" i="1" l="1"/>
  <c r="N263" i="1" s="1"/>
  <c r="Z263" i="1" s="1"/>
  <c r="V264" i="1" s="1"/>
  <c r="O263" i="1" l="1"/>
  <c r="P263" i="1" s="1"/>
  <c r="W264" i="1"/>
  <c r="Y264" i="1" l="1"/>
  <c r="X264" i="1"/>
  <c r="Q263" i="1"/>
  <c r="S263" i="1" s="1"/>
  <c r="AA264" i="1" l="1"/>
  <c r="R263" i="1" l="1"/>
  <c r="N264" i="1" s="1"/>
  <c r="Z264" i="1" s="1"/>
  <c r="V265" i="1" s="1"/>
  <c r="O264" i="1" l="1"/>
  <c r="P264" i="1" s="1"/>
  <c r="W265" i="1"/>
  <c r="Y265" i="1" l="1"/>
  <c r="X265" i="1"/>
  <c r="Q264" i="1"/>
  <c r="S264" i="1" s="1"/>
  <c r="AA265" i="1" l="1"/>
  <c r="R264" i="1" l="1"/>
  <c r="N265" i="1" s="1"/>
  <c r="Z265" i="1" s="1"/>
  <c r="V266" i="1" s="1"/>
  <c r="O265" i="1" l="1"/>
  <c r="P265" i="1" s="1"/>
  <c r="W266" i="1"/>
  <c r="Y266" i="1" l="1"/>
  <c r="X266" i="1"/>
  <c r="Q265" i="1"/>
  <c r="S265" i="1" s="1"/>
  <c r="AA266" i="1" l="1"/>
  <c r="R265" i="1" l="1"/>
  <c r="N266" i="1" s="1"/>
  <c r="Z266" i="1" s="1"/>
  <c r="V267" i="1" s="1"/>
  <c r="O266" i="1" l="1"/>
  <c r="P266" i="1" s="1"/>
  <c r="W267" i="1"/>
  <c r="Y267" i="1" l="1"/>
  <c r="X267" i="1"/>
  <c r="Q266" i="1"/>
  <c r="S266" i="1" s="1"/>
  <c r="AA267" i="1" l="1"/>
  <c r="R266" i="1" l="1"/>
  <c r="N267" i="1" s="1"/>
  <c r="Z267" i="1" s="1"/>
  <c r="V268" i="1" s="1"/>
  <c r="O267" i="1" l="1"/>
  <c r="P267" i="1" s="1"/>
  <c r="W268" i="1"/>
  <c r="Y268" i="1" l="1"/>
  <c r="X268" i="1"/>
  <c r="Q267" i="1"/>
  <c r="S267" i="1" s="1"/>
  <c r="AA268" i="1" l="1"/>
  <c r="R267" i="1" l="1"/>
  <c r="N268" i="1" s="1"/>
  <c r="Z268" i="1" s="1"/>
  <c r="V269" i="1" s="1"/>
  <c r="O268" i="1" l="1"/>
  <c r="P268" i="1" s="1"/>
  <c r="W269" i="1"/>
  <c r="Y269" i="1" l="1"/>
  <c r="X269" i="1"/>
  <c r="Q268" i="1"/>
  <c r="S268" i="1" s="1"/>
  <c r="AA269" i="1" l="1"/>
  <c r="R268" i="1" l="1"/>
  <c r="N269" i="1" s="1"/>
  <c r="Z269" i="1" s="1"/>
  <c r="V270" i="1" s="1"/>
  <c r="O269" i="1" l="1"/>
  <c r="P269" i="1" s="1"/>
  <c r="W270" i="1"/>
  <c r="Y270" i="1" l="1"/>
  <c r="X270" i="1"/>
  <c r="Q269" i="1"/>
  <c r="S269" i="1" s="1"/>
  <c r="AA270" i="1" l="1"/>
  <c r="R269" i="1" l="1"/>
  <c r="N270" i="1" s="1"/>
  <c r="Z270" i="1" s="1"/>
  <c r="V271" i="1" s="1"/>
  <c r="O270" i="1" l="1"/>
  <c r="P270" i="1" s="1"/>
  <c r="W271" i="1"/>
  <c r="Y271" i="1" l="1"/>
  <c r="X271" i="1"/>
  <c r="Q270" i="1"/>
  <c r="S270" i="1" s="1"/>
  <c r="AA271" i="1" l="1"/>
  <c r="R270" i="1" l="1"/>
  <c r="N271" i="1" s="1"/>
  <c r="Z271" i="1" s="1"/>
  <c r="V272" i="1" s="1"/>
  <c r="O271" i="1" l="1"/>
  <c r="P271" i="1" s="1"/>
  <c r="W272" i="1"/>
  <c r="Y272" i="1" l="1"/>
  <c r="X272" i="1"/>
  <c r="Q271" i="1"/>
  <c r="S271" i="1" s="1"/>
  <c r="AA272" i="1" l="1"/>
  <c r="R271" i="1" l="1"/>
  <c r="N272" i="1" s="1"/>
  <c r="Z272" i="1" s="1"/>
  <c r="V273" i="1" s="1"/>
  <c r="O272" i="1" l="1"/>
  <c r="P272" i="1" s="1"/>
  <c r="W273" i="1"/>
  <c r="Y273" i="1" l="1"/>
  <c r="X273" i="1"/>
  <c r="Q272" i="1"/>
  <c r="S272" i="1" s="1"/>
  <c r="AA273" i="1" l="1"/>
  <c r="R272" i="1" l="1"/>
  <c r="N273" i="1" s="1"/>
  <c r="Z273" i="1" s="1"/>
  <c r="V274" i="1" s="1"/>
  <c r="O273" i="1" l="1"/>
  <c r="P273" i="1" s="1"/>
  <c r="W274" i="1"/>
  <c r="Y274" i="1" l="1"/>
  <c r="X274" i="1"/>
  <c r="Q273" i="1"/>
  <c r="S273" i="1" s="1"/>
  <c r="AA274" i="1" l="1"/>
  <c r="R273" i="1" l="1"/>
  <c r="N274" i="1" s="1"/>
  <c r="Z274" i="1" s="1"/>
  <c r="V275" i="1" s="1"/>
  <c r="O274" i="1" l="1"/>
  <c r="P274" i="1" s="1"/>
  <c r="W275" i="1"/>
  <c r="Y275" i="1" l="1"/>
  <c r="X275" i="1"/>
  <c r="Q274" i="1"/>
  <c r="S274" i="1" s="1"/>
  <c r="AA275" i="1" l="1"/>
  <c r="R274" i="1" l="1"/>
  <c r="N275" i="1" s="1"/>
  <c r="Z275" i="1" s="1"/>
  <c r="V276" i="1" s="1"/>
  <c r="O275" i="1" l="1"/>
  <c r="P275" i="1" s="1"/>
  <c r="W276" i="1"/>
  <c r="Y276" i="1" l="1"/>
  <c r="X276" i="1"/>
  <c r="Q275" i="1"/>
  <c r="S275" i="1" s="1"/>
  <c r="AA276" i="1" l="1"/>
  <c r="R275" i="1" l="1"/>
  <c r="N276" i="1" s="1"/>
  <c r="Z276" i="1" s="1"/>
  <c r="V277" i="1" s="1"/>
  <c r="O276" i="1" l="1"/>
  <c r="P276" i="1" s="1"/>
  <c r="W277" i="1"/>
  <c r="Y277" i="1" l="1"/>
  <c r="X277" i="1"/>
  <c r="Q276" i="1"/>
  <c r="S276" i="1" s="1"/>
  <c r="AA277" i="1" l="1"/>
  <c r="R276" i="1" l="1"/>
  <c r="N277" i="1" s="1"/>
  <c r="Z277" i="1" s="1"/>
  <c r="V278" i="1" s="1"/>
  <c r="O277" i="1" l="1"/>
  <c r="P277" i="1" s="1"/>
  <c r="W278" i="1"/>
  <c r="Y278" i="1" l="1"/>
  <c r="X278" i="1"/>
  <c r="Q277" i="1"/>
  <c r="S277" i="1" s="1"/>
  <c r="AA278" i="1" l="1"/>
  <c r="R277" i="1" l="1"/>
  <c r="N278" i="1" s="1"/>
  <c r="Z278" i="1" s="1"/>
  <c r="V279" i="1" s="1"/>
  <c r="O278" i="1" l="1"/>
  <c r="P278" i="1" s="1"/>
  <c r="W279" i="1"/>
  <c r="Y279" i="1" l="1"/>
  <c r="X279" i="1"/>
  <c r="Q278" i="1"/>
  <c r="S278" i="1" s="1"/>
  <c r="AA279" i="1" l="1"/>
  <c r="R278" i="1" l="1"/>
  <c r="N279" i="1" s="1"/>
  <c r="Z279" i="1" s="1"/>
  <c r="V280" i="1" s="1"/>
  <c r="O279" i="1" l="1"/>
  <c r="P279" i="1" s="1"/>
  <c r="W280" i="1"/>
  <c r="Y280" i="1" l="1"/>
  <c r="X280" i="1"/>
  <c r="Q279" i="1"/>
  <c r="S279" i="1" s="1"/>
  <c r="AA280" i="1" l="1"/>
  <c r="R279" i="1" l="1"/>
  <c r="N280" i="1" s="1"/>
  <c r="Z280" i="1" s="1"/>
  <c r="V281" i="1" s="1"/>
  <c r="O280" i="1" l="1"/>
  <c r="P280" i="1" s="1"/>
  <c r="W281" i="1"/>
  <c r="Y281" i="1" l="1"/>
  <c r="X281" i="1"/>
  <c r="Q280" i="1"/>
  <c r="S280" i="1" s="1"/>
  <c r="AA281" i="1" l="1"/>
  <c r="R280" i="1" l="1"/>
  <c r="N281" i="1" s="1"/>
  <c r="Z281" i="1" s="1"/>
  <c r="V282" i="1" s="1"/>
  <c r="O281" i="1" l="1"/>
  <c r="P281" i="1" s="1"/>
  <c r="W282" i="1"/>
  <c r="Y282" i="1" l="1"/>
  <c r="X282" i="1"/>
  <c r="Q281" i="1"/>
  <c r="S281" i="1" s="1"/>
  <c r="AA282" i="1" l="1"/>
  <c r="R281" i="1" l="1"/>
  <c r="N282" i="1" s="1"/>
  <c r="Z282" i="1" s="1"/>
  <c r="V283" i="1" s="1"/>
  <c r="O282" i="1" l="1"/>
  <c r="P282" i="1" s="1"/>
  <c r="W283" i="1"/>
  <c r="Y283" i="1" l="1"/>
  <c r="X283" i="1"/>
  <c r="Q282" i="1"/>
  <c r="S282" i="1" s="1"/>
  <c r="AA283" i="1" l="1"/>
  <c r="R282" i="1" l="1"/>
  <c r="N283" i="1" s="1"/>
  <c r="Z283" i="1" s="1"/>
  <c r="V284" i="1" s="1"/>
  <c r="O283" i="1" l="1"/>
  <c r="P283" i="1" s="1"/>
  <c r="W284" i="1"/>
  <c r="Y284" i="1" l="1"/>
  <c r="X284" i="1"/>
  <c r="Q283" i="1"/>
  <c r="S283" i="1" s="1"/>
  <c r="AA284" i="1" l="1"/>
  <c r="R283" i="1" l="1"/>
  <c r="N284" i="1" s="1"/>
  <c r="Z284" i="1" s="1"/>
  <c r="V285" i="1" s="1"/>
  <c r="O284" i="1" l="1"/>
  <c r="P284" i="1" s="1"/>
  <c r="W285" i="1"/>
  <c r="Y285" i="1" l="1"/>
  <c r="X285" i="1"/>
  <c r="Q284" i="1"/>
  <c r="S284" i="1" s="1"/>
  <c r="AA285" i="1" l="1"/>
  <c r="R284" i="1" l="1"/>
  <c r="N285" i="1" s="1"/>
  <c r="Z285" i="1" s="1"/>
  <c r="V286" i="1" s="1"/>
  <c r="O285" i="1" l="1"/>
  <c r="P285" i="1" s="1"/>
  <c r="W286" i="1"/>
  <c r="Y286" i="1" l="1"/>
  <c r="X286" i="1"/>
  <c r="Q285" i="1"/>
  <c r="S285" i="1" s="1"/>
  <c r="AA286" i="1" l="1"/>
  <c r="R285" i="1" l="1"/>
  <c r="N286" i="1" s="1"/>
  <c r="Z286" i="1" s="1"/>
  <c r="V287" i="1" s="1"/>
  <c r="O286" i="1" l="1"/>
  <c r="P286" i="1" s="1"/>
  <c r="W287" i="1"/>
  <c r="Y287" i="1" l="1"/>
  <c r="X287" i="1"/>
  <c r="Q286" i="1"/>
  <c r="S286" i="1" s="1"/>
  <c r="AA287" i="1" l="1"/>
  <c r="R286" i="1" l="1"/>
  <c r="N287" i="1" s="1"/>
  <c r="Z287" i="1" s="1"/>
  <c r="V288" i="1" s="1"/>
  <c r="O287" i="1" l="1"/>
  <c r="P287" i="1" s="1"/>
  <c r="W288" i="1"/>
  <c r="Y288" i="1" l="1"/>
  <c r="X288" i="1"/>
  <c r="Q287" i="1"/>
  <c r="S287" i="1" s="1"/>
  <c r="AA288" i="1" l="1"/>
  <c r="R287" i="1" l="1"/>
  <c r="N288" i="1" s="1"/>
  <c r="Z288" i="1" s="1"/>
  <c r="V289" i="1" s="1"/>
  <c r="O288" i="1" l="1"/>
  <c r="P288" i="1" s="1"/>
  <c r="W289" i="1"/>
  <c r="Y289" i="1" l="1"/>
  <c r="X289" i="1"/>
  <c r="Q288" i="1"/>
  <c r="S288" i="1" s="1"/>
  <c r="AA289" i="1" l="1"/>
  <c r="R288" i="1" l="1"/>
  <c r="N289" i="1" s="1"/>
  <c r="Z289" i="1" s="1"/>
  <c r="V290" i="1" s="1"/>
  <c r="O289" i="1" l="1"/>
  <c r="P289" i="1" s="1"/>
  <c r="W290" i="1"/>
  <c r="Y290" i="1" l="1"/>
  <c r="X290" i="1"/>
  <c r="Q289" i="1"/>
  <c r="S289" i="1" s="1"/>
  <c r="AA290" i="1" l="1"/>
  <c r="R289" i="1" l="1"/>
  <c r="N290" i="1" s="1"/>
  <c r="Z290" i="1" s="1"/>
  <c r="V291" i="1" s="1"/>
  <c r="O290" i="1" l="1"/>
  <c r="P290" i="1" s="1"/>
  <c r="W291" i="1"/>
  <c r="Y291" i="1" l="1"/>
  <c r="X291" i="1"/>
  <c r="Q290" i="1"/>
  <c r="S290" i="1" s="1"/>
  <c r="AA291" i="1" l="1"/>
  <c r="R290" i="1" l="1"/>
  <c r="N291" i="1" s="1"/>
  <c r="Z291" i="1" s="1"/>
  <c r="V292" i="1" s="1"/>
  <c r="O291" i="1" l="1"/>
  <c r="P291" i="1" s="1"/>
  <c r="W292" i="1"/>
  <c r="Y292" i="1" l="1"/>
  <c r="X292" i="1"/>
  <c r="Q291" i="1"/>
  <c r="S291" i="1" s="1"/>
  <c r="AA292" i="1" l="1"/>
  <c r="R291" i="1"/>
  <c r="N292" i="1" s="1"/>
  <c r="Z292" i="1" s="1"/>
  <c r="V293" i="1" s="1"/>
  <c r="O292" i="1" l="1"/>
  <c r="P292" i="1" s="1"/>
  <c r="W293" i="1"/>
  <c r="Y293" i="1" l="1"/>
  <c r="X293" i="1"/>
  <c r="Q292" i="1"/>
  <c r="S292" i="1" s="1"/>
  <c r="AA293" i="1" l="1"/>
  <c r="R292" i="1" l="1"/>
  <c r="N293" i="1" s="1"/>
  <c r="Z293" i="1" s="1"/>
  <c r="V294" i="1" s="1"/>
  <c r="O293" i="1" l="1"/>
  <c r="P293" i="1" s="1"/>
  <c r="W294" i="1"/>
  <c r="Y294" i="1" l="1"/>
  <c r="X294" i="1"/>
  <c r="Q293" i="1"/>
  <c r="S293" i="1" s="1"/>
  <c r="AA294" i="1" l="1"/>
  <c r="R293" i="1" l="1"/>
  <c r="N294" i="1" s="1"/>
  <c r="Z294" i="1" s="1"/>
  <c r="V295" i="1" s="1"/>
  <c r="O294" i="1" l="1"/>
  <c r="P294" i="1" s="1"/>
  <c r="W295" i="1"/>
  <c r="Y295" i="1" l="1"/>
  <c r="X295" i="1"/>
  <c r="Q294" i="1"/>
  <c r="S294" i="1" s="1"/>
  <c r="AA295" i="1" l="1"/>
  <c r="R294" i="1" l="1"/>
  <c r="N295" i="1" s="1"/>
  <c r="Z295" i="1" s="1"/>
  <c r="V296" i="1" s="1"/>
  <c r="O295" i="1" l="1"/>
  <c r="P295" i="1" s="1"/>
  <c r="W296" i="1"/>
  <c r="Y296" i="1" l="1"/>
  <c r="X296" i="1"/>
  <c r="Q295" i="1"/>
  <c r="S295" i="1" s="1"/>
  <c r="AA296" i="1" l="1"/>
  <c r="R295" i="1" l="1"/>
  <c r="N296" i="1" s="1"/>
  <c r="Z296" i="1" s="1"/>
  <c r="V297" i="1" s="1"/>
  <c r="O296" i="1" l="1"/>
  <c r="P296" i="1" s="1"/>
  <c r="W297" i="1"/>
  <c r="Y297" i="1" l="1"/>
  <c r="X297" i="1"/>
  <c r="Q296" i="1"/>
  <c r="S296" i="1" s="1"/>
  <c r="AA297" i="1" l="1"/>
  <c r="R296" i="1" l="1"/>
  <c r="N297" i="1" s="1"/>
  <c r="Z297" i="1" s="1"/>
  <c r="V298" i="1" s="1"/>
  <c r="O297" i="1" l="1"/>
  <c r="P297" i="1" s="1"/>
  <c r="W298" i="1"/>
  <c r="Y298" i="1" l="1"/>
  <c r="X298" i="1"/>
  <c r="Q297" i="1"/>
  <c r="S297" i="1" s="1"/>
  <c r="AA298" i="1" l="1"/>
  <c r="R297" i="1" l="1"/>
  <c r="N298" i="1" s="1"/>
  <c r="Z298" i="1" s="1"/>
  <c r="V299" i="1" s="1"/>
  <c r="O298" i="1" l="1"/>
  <c r="P298" i="1" s="1"/>
  <c r="W299" i="1"/>
  <c r="Y299" i="1" l="1"/>
  <c r="X299" i="1"/>
  <c r="Q298" i="1"/>
  <c r="S298" i="1" s="1"/>
  <c r="AA299" i="1" l="1"/>
  <c r="R298" i="1" l="1"/>
  <c r="N299" i="1" s="1"/>
  <c r="Z299" i="1" s="1"/>
  <c r="V300" i="1" s="1"/>
  <c r="O299" i="1" l="1"/>
  <c r="P299" i="1" s="1"/>
  <c r="W300" i="1"/>
  <c r="Y300" i="1" l="1"/>
  <c r="X300" i="1"/>
  <c r="Q299" i="1"/>
  <c r="S299" i="1" s="1"/>
  <c r="AA300" i="1" l="1"/>
  <c r="R299" i="1" l="1"/>
  <c r="N300" i="1" s="1"/>
  <c r="Z300" i="1" s="1"/>
  <c r="V301" i="1" s="1"/>
  <c r="O300" i="1" l="1"/>
  <c r="P300" i="1" s="1"/>
  <c r="W301" i="1"/>
  <c r="Y301" i="1" l="1"/>
  <c r="X301" i="1"/>
  <c r="Q300" i="1"/>
  <c r="S300" i="1" s="1"/>
  <c r="AA301" i="1" l="1"/>
  <c r="R300" i="1" l="1"/>
  <c r="N301" i="1" s="1"/>
  <c r="Z301" i="1" s="1"/>
  <c r="V302" i="1" s="1"/>
  <c r="O301" i="1" l="1"/>
  <c r="P301" i="1" s="1"/>
  <c r="W302" i="1"/>
  <c r="Y302" i="1" l="1"/>
  <c r="X302" i="1"/>
  <c r="Q301" i="1"/>
  <c r="S301" i="1" s="1"/>
  <c r="AA302" i="1" l="1"/>
  <c r="R301" i="1" l="1"/>
  <c r="N302" i="1" s="1"/>
  <c r="Z302" i="1" s="1"/>
  <c r="V303" i="1" s="1"/>
  <c r="O302" i="1" l="1"/>
  <c r="P302" i="1" s="1"/>
  <c r="W303" i="1"/>
  <c r="Y303" i="1" l="1"/>
  <c r="X303" i="1"/>
  <c r="Q302" i="1"/>
  <c r="S302" i="1" s="1"/>
  <c r="AA303" i="1" l="1"/>
  <c r="R302" i="1" l="1"/>
  <c r="N303" i="1" s="1"/>
  <c r="Z303" i="1" s="1"/>
  <c r="V304" i="1" s="1"/>
  <c r="O303" i="1" l="1"/>
  <c r="P303" i="1" s="1"/>
  <c r="W304" i="1"/>
  <c r="Y304" i="1" l="1"/>
  <c r="X304" i="1"/>
  <c r="Q303" i="1"/>
  <c r="S303" i="1" s="1"/>
  <c r="AA304" i="1" l="1"/>
  <c r="R303" i="1" l="1"/>
  <c r="N304" i="1" s="1"/>
  <c r="Z304" i="1" s="1"/>
  <c r="V305" i="1" s="1"/>
  <c r="O304" i="1" l="1"/>
  <c r="P304" i="1" s="1"/>
  <c r="W305" i="1"/>
  <c r="Y305" i="1" l="1"/>
  <c r="X305" i="1"/>
  <c r="Q304" i="1"/>
  <c r="S304" i="1" s="1"/>
  <c r="AA305" i="1" l="1"/>
  <c r="R304" i="1" l="1"/>
  <c r="N305" i="1" s="1"/>
  <c r="Z305" i="1" s="1"/>
  <c r="V306" i="1" s="1"/>
  <c r="W306" i="1" s="1"/>
  <c r="O305" i="1" l="1"/>
  <c r="P305" i="1" s="1"/>
  <c r="Y306" i="1"/>
  <c r="X306" i="1"/>
  <c r="AA306" i="1" l="1"/>
  <c r="Q305" i="1"/>
  <c r="S305" i="1" s="1"/>
  <c r="R305" i="1" l="1"/>
  <c r="N306" i="1" s="1"/>
  <c r="Z306" i="1" l="1"/>
  <c r="O306" i="1"/>
  <c r="P306" i="1" s="1"/>
  <c r="Q306" i="1" l="1"/>
  <c r="S306" i="1" s="1"/>
  <c r="R306" i="1" s="1"/>
</calcChain>
</file>

<file path=xl/sharedStrings.xml><?xml version="1.0" encoding="utf-8"?>
<sst xmlns="http://schemas.openxmlformats.org/spreadsheetml/2006/main" count="46" uniqueCount="37">
  <si>
    <t>S_w [ft^2]</t>
  </si>
  <si>
    <t>b [ft]</t>
  </si>
  <si>
    <t>Ixx [slug*ft^2]</t>
  </si>
  <si>
    <t>Cl,pbar</t>
  </si>
  <si>
    <t>Cl,da</t>
  </si>
  <si>
    <t>V [ft/s]</t>
  </si>
  <si>
    <t>dt[s]</t>
  </si>
  <si>
    <t>rho [slug/ft^3]</t>
  </si>
  <si>
    <t>p_sp [deg/s]</t>
  </si>
  <si>
    <t>CONSTANTS</t>
  </si>
  <si>
    <t>CALCULATIONS</t>
  </si>
  <si>
    <t>da [rad]</t>
  </si>
  <si>
    <t>da [deg]</t>
  </si>
  <si>
    <t>time_constant [/s]</t>
  </si>
  <si>
    <t>INTEGRATION</t>
  </si>
  <si>
    <t>time [s]</t>
  </si>
  <si>
    <t>p [deg/s] (analytic)</t>
  </si>
  <si>
    <t>p [deg/s] (constant deflection)</t>
  </si>
  <si>
    <t>p [deg/s] (variable deflection)</t>
  </si>
  <si>
    <t>GAINS</t>
  </si>
  <si>
    <t>Roll Rate</t>
  </si>
  <si>
    <t>k_p</t>
  </si>
  <si>
    <t>k_i</t>
  </si>
  <si>
    <t>k_d</t>
  </si>
  <si>
    <t>err [deg/s]</t>
  </si>
  <si>
    <t>p [deg/s]</t>
  </si>
  <si>
    <t>int</t>
  </si>
  <si>
    <t>der</t>
  </si>
  <si>
    <t>PLOTS</t>
  </si>
  <si>
    <t>pdot [deg/s^2]</t>
  </si>
  <si>
    <t>PID Rolling Rate</t>
  </si>
  <si>
    <t>PID Bank Angle</t>
  </si>
  <si>
    <t>phi [deg]</t>
  </si>
  <si>
    <t>phi dot [deg/s]</t>
  </si>
  <si>
    <t>phi_sp[deg]</t>
  </si>
  <si>
    <t>p_sp[deg/s]</t>
  </si>
  <si>
    <t>Bank 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</si>
</sst>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64" fontId="0" fillId="0" borderId="0" xfId="0" applyNumberFormat="1"/>
    <xf numFmtId="0" fontId="0" fillId="0" borderId="10" xfId="0" applyBorder="1"/>
    <xf numFmtId="0" fontId="0" fillId="0" borderId="11" xfId="0" applyBorder="1"/>
    <xf numFmtId="0" fontId="0" fillId="0" borderId="12" xfId="0" applyBorder="1"/>
    <xf numFmtId="164" fontId="0" fillId="0" borderId="13" xfId="0" applyNumberFormat="1" applyBorder="1"/>
    <xf numFmtId="164" fontId="0" fillId="0" borderId="11" xfId="0" applyNumberFormat="1" applyBorder="1"/>
    <xf numFmtId="2" fontId="0" fillId="0" borderId="0" xfId="0" applyNumberFormat="1"/>
    <xf numFmtId="0" fontId="1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0" fontId="1" fillId="2" borderId="9" xfId="0" applyFont="1" applyFill="1" applyBorder="1" applyAlignment="1">
      <alignment horizontal="center" vertical="center"/>
    </xf>
    <xf numFmtId="0" fontId="0" fillId="0" borderId="0" xfId="0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718956118566963"/>
          <c:y val="3.1849676898883975E-2"/>
          <c:w val="0.83826328154029006"/>
          <c:h val="0.79459397771748719"/>
        </c:manualLayout>
      </c:layout>
      <c:scatterChart>
        <c:scatterStyle val="lineMarker"/>
        <c:varyColors val="0"/>
        <c:ser>
          <c:idx val="0"/>
          <c:order val="0"/>
          <c:tx>
            <c:v>Analytic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Sheet1!$H$6:$H$306</c:f>
            </c:numRef>
          </c:xVal>
          <c:yVal>
            <c:numRef>
              <c:f>Sheet1!$I$6:$I$306</c:f>
            </c:numRef>
          </c:yVal>
          <c:smooth val="0"/>
          <c:extLst>
            <c:ext xmlns:c16="http://schemas.microsoft.com/office/drawing/2014/chart" uri="{C3380CC4-5D6E-409C-BE32-E72D297353CC}">
              <c16:uniqueId val="{00000000-7047-488A-A4C8-7213BD8AEC00}"/>
            </c:ext>
          </c:extLst>
        </c:ser>
        <c:ser>
          <c:idx val="1"/>
          <c:order val="1"/>
          <c:tx>
            <c:v>Constant Aileron Deflection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Sheet1!$H$6:$H$306</c:f>
            </c:numRef>
          </c:xVal>
          <c:yVal>
            <c:numRef>
              <c:f>Sheet1!$J$6:$J$306</c:f>
            </c:numRef>
          </c:yVal>
          <c:smooth val="0"/>
          <c:extLst>
            <c:ext xmlns:c16="http://schemas.microsoft.com/office/drawing/2014/chart" uri="{C3380CC4-5D6E-409C-BE32-E72D297353CC}">
              <c16:uniqueId val="{00000001-7047-488A-A4C8-7213BD8AEC00}"/>
            </c:ext>
          </c:extLst>
        </c:ser>
        <c:ser>
          <c:idx val="2"/>
          <c:order val="2"/>
          <c:tx>
            <c:v>Variable Aileron Deflection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Sheet1!$H$6:$H$306</c:f>
            </c:numRef>
          </c:xVal>
          <c:yVal>
            <c:numRef>
              <c:f>Sheet1!$K$6:$K$306</c:f>
            </c:numRef>
          </c:yVal>
          <c:smooth val="0"/>
          <c:extLst>
            <c:ext xmlns:c16="http://schemas.microsoft.com/office/drawing/2014/chart" uri="{C3380CC4-5D6E-409C-BE32-E72D297353CC}">
              <c16:uniqueId val="{00000002-7047-488A-A4C8-7213BD8AEC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013743"/>
        <c:axId val="823990223"/>
      </c:scatterChart>
      <c:valAx>
        <c:axId val="824013743"/>
        <c:scaling>
          <c:orientation val="minMax"/>
          <c:max val="3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6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</a:t>
                </a:r>
                <a:r>
                  <a:rPr lang="en-US" sz="16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[s]</a:t>
                </a:r>
                <a:endParaRPr lang="en-US" sz="1600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1270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23990223"/>
        <c:crosses val="autoZero"/>
        <c:crossBetween val="midCat"/>
      </c:valAx>
      <c:valAx>
        <c:axId val="823990223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Rolling Rate, </a:t>
                </a:r>
                <a:r>
                  <a:rPr lang="en-US" sz="1600" i="1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p</a:t>
                </a:r>
                <a:r>
                  <a:rPr lang="en-US" sz="16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[deg/s]</a:t>
                </a:r>
              </a:p>
            </c:rich>
          </c:tx>
          <c:layout>
            <c:manualLayout>
              <c:xMode val="edge"/>
              <c:yMode val="edge"/>
              <c:x val="2.4180634883555031E-2"/>
              <c:y val="0.234119632909925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1270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24013743"/>
        <c:crosses val="autoZero"/>
        <c:crossBetween val="midCat"/>
        <c:majorUnit val="10"/>
      </c:valAx>
      <c:spPr>
        <a:noFill/>
        <a:ln w="19050"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52176511381282031"/>
          <c:y val="0.54685365477958658"/>
          <c:w val="0.40985880758519827"/>
          <c:h val="0.23461269659806122"/>
        </c:manualLayout>
      </c:layout>
      <c:overlay val="0"/>
      <c:spPr>
        <a:solidFill>
          <a:schemeClr val="bg1"/>
        </a:solidFill>
        <a:ln w="19050">
          <a:solidFill>
            <a:schemeClr val="dk1"/>
          </a:solidFill>
        </a:ln>
        <a:effectLst/>
      </c:spPr>
      <c:txPr>
        <a:bodyPr rot="0" spcFirstLastPara="1" vertOverflow="ellipsis" vert="horz" wrap="square" anchor="ctr" anchorCtr="0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718956118566963"/>
          <c:y val="3.1849676898883975E-2"/>
          <c:w val="0.83826328154029006"/>
          <c:h val="0.79459397771748719"/>
        </c:manualLayout>
      </c:layout>
      <c:scatterChart>
        <c:scatterStyle val="lineMarker"/>
        <c:varyColors val="0"/>
        <c:ser>
          <c:idx val="1"/>
          <c:order val="0"/>
          <c:tx>
            <c:v>PID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chemeClr val="dk1"/>
                </a:solidFill>
              </a:ln>
              <a:effectLst/>
            </c:spPr>
          </c:marker>
          <c:xVal>
            <c:numRef>
              <c:f>Sheet1!$M$6:$M$306</c:f>
              <c:numCache>
                <c:formatCode>0.00</c:formatCode>
                <c:ptCount val="30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6.0000000000000005E-2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9.9999999999999992E-2</c:v>
                </c:pt>
                <c:pt idx="11">
                  <c:v>0.10999999999999999</c:v>
                </c:pt>
                <c:pt idx="12">
                  <c:v>0.11999999999999998</c:v>
                </c:pt>
                <c:pt idx="13">
                  <c:v>0.12999999999999998</c:v>
                </c:pt>
                <c:pt idx="14">
                  <c:v>0.13999999999999999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0.18000000000000002</c:v>
                </c:pt>
                <c:pt idx="19">
                  <c:v>0.19000000000000003</c:v>
                </c:pt>
                <c:pt idx="20">
                  <c:v>0.20000000000000004</c:v>
                </c:pt>
                <c:pt idx="21">
                  <c:v>0.21000000000000005</c:v>
                </c:pt>
                <c:pt idx="22">
                  <c:v>0.22000000000000006</c:v>
                </c:pt>
                <c:pt idx="23">
                  <c:v>0.23000000000000007</c:v>
                </c:pt>
                <c:pt idx="24">
                  <c:v>0.24000000000000007</c:v>
                </c:pt>
                <c:pt idx="25">
                  <c:v>0.25000000000000006</c:v>
                </c:pt>
                <c:pt idx="26">
                  <c:v>0.26000000000000006</c:v>
                </c:pt>
                <c:pt idx="27">
                  <c:v>0.27000000000000007</c:v>
                </c:pt>
                <c:pt idx="28">
                  <c:v>0.28000000000000008</c:v>
                </c:pt>
                <c:pt idx="29">
                  <c:v>0.29000000000000009</c:v>
                </c:pt>
                <c:pt idx="30">
                  <c:v>0.3000000000000001</c:v>
                </c:pt>
                <c:pt idx="31">
                  <c:v>0.31000000000000011</c:v>
                </c:pt>
                <c:pt idx="32">
                  <c:v>0.32000000000000012</c:v>
                </c:pt>
                <c:pt idx="33">
                  <c:v>0.33000000000000013</c:v>
                </c:pt>
                <c:pt idx="34">
                  <c:v>0.34000000000000014</c:v>
                </c:pt>
                <c:pt idx="35">
                  <c:v>0.35000000000000014</c:v>
                </c:pt>
                <c:pt idx="36">
                  <c:v>0.36000000000000015</c:v>
                </c:pt>
                <c:pt idx="37">
                  <c:v>0.37000000000000016</c:v>
                </c:pt>
                <c:pt idx="38">
                  <c:v>0.38000000000000017</c:v>
                </c:pt>
                <c:pt idx="39">
                  <c:v>0.39000000000000018</c:v>
                </c:pt>
                <c:pt idx="40">
                  <c:v>0.40000000000000019</c:v>
                </c:pt>
                <c:pt idx="41">
                  <c:v>0.4100000000000002</c:v>
                </c:pt>
                <c:pt idx="42">
                  <c:v>0.42000000000000021</c:v>
                </c:pt>
                <c:pt idx="43">
                  <c:v>0.43000000000000022</c:v>
                </c:pt>
                <c:pt idx="44">
                  <c:v>0.44000000000000022</c:v>
                </c:pt>
                <c:pt idx="45">
                  <c:v>0.45000000000000023</c:v>
                </c:pt>
                <c:pt idx="46">
                  <c:v>0.46000000000000024</c:v>
                </c:pt>
                <c:pt idx="47">
                  <c:v>0.47000000000000025</c:v>
                </c:pt>
                <c:pt idx="48">
                  <c:v>0.48000000000000026</c:v>
                </c:pt>
                <c:pt idx="49">
                  <c:v>0.49000000000000027</c:v>
                </c:pt>
                <c:pt idx="50">
                  <c:v>0.50000000000000022</c:v>
                </c:pt>
                <c:pt idx="51">
                  <c:v>0.51000000000000023</c:v>
                </c:pt>
                <c:pt idx="52">
                  <c:v>0.52000000000000024</c:v>
                </c:pt>
                <c:pt idx="53">
                  <c:v>0.53000000000000025</c:v>
                </c:pt>
                <c:pt idx="54">
                  <c:v>0.54000000000000026</c:v>
                </c:pt>
                <c:pt idx="55">
                  <c:v>0.55000000000000027</c:v>
                </c:pt>
                <c:pt idx="56">
                  <c:v>0.56000000000000028</c:v>
                </c:pt>
                <c:pt idx="57">
                  <c:v>0.57000000000000028</c:v>
                </c:pt>
                <c:pt idx="58">
                  <c:v>0.58000000000000029</c:v>
                </c:pt>
                <c:pt idx="59">
                  <c:v>0.5900000000000003</c:v>
                </c:pt>
                <c:pt idx="60">
                  <c:v>0.60000000000000031</c:v>
                </c:pt>
                <c:pt idx="61">
                  <c:v>0.61000000000000032</c:v>
                </c:pt>
                <c:pt idx="62">
                  <c:v>0.62000000000000033</c:v>
                </c:pt>
                <c:pt idx="63">
                  <c:v>0.63000000000000034</c:v>
                </c:pt>
                <c:pt idx="64">
                  <c:v>0.64000000000000035</c:v>
                </c:pt>
                <c:pt idx="65">
                  <c:v>0.65000000000000036</c:v>
                </c:pt>
                <c:pt idx="66">
                  <c:v>0.66000000000000036</c:v>
                </c:pt>
                <c:pt idx="67">
                  <c:v>0.67000000000000037</c:v>
                </c:pt>
                <c:pt idx="68">
                  <c:v>0.68000000000000038</c:v>
                </c:pt>
                <c:pt idx="69">
                  <c:v>0.69000000000000039</c:v>
                </c:pt>
                <c:pt idx="70">
                  <c:v>0.7000000000000004</c:v>
                </c:pt>
                <c:pt idx="71">
                  <c:v>0.71000000000000041</c:v>
                </c:pt>
                <c:pt idx="72">
                  <c:v>0.72000000000000042</c:v>
                </c:pt>
                <c:pt idx="73">
                  <c:v>0.73000000000000043</c:v>
                </c:pt>
                <c:pt idx="74">
                  <c:v>0.74000000000000044</c:v>
                </c:pt>
                <c:pt idx="75">
                  <c:v>0.75000000000000044</c:v>
                </c:pt>
                <c:pt idx="76">
                  <c:v>0.76000000000000045</c:v>
                </c:pt>
                <c:pt idx="77">
                  <c:v>0.77000000000000046</c:v>
                </c:pt>
                <c:pt idx="78">
                  <c:v>0.78000000000000047</c:v>
                </c:pt>
                <c:pt idx="79">
                  <c:v>0.79000000000000048</c:v>
                </c:pt>
                <c:pt idx="80">
                  <c:v>0.80000000000000049</c:v>
                </c:pt>
                <c:pt idx="81">
                  <c:v>0.8100000000000005</c:v>
                </c:pt>
                <c:pt idx="82">
                  <c:v>0.82000000000000051</c:v>
                </c:pt>
                <c:pt idx="83">
                  <c:v>0.83000000000000052</c:v>
                </c:pt>
                <c:pt idx="84">
                  <c:v>0.84000000000000052</c:v>
                </c:pt>
                <c:pt idx="85">
                  <c:v>0.85000000000000053</c:v>
                </c:pt>
                <c:pt idx="86">
                  <c:v>0.86000000000000054</c:v>
                </c:pt>
                <c:pt idx="87">
                  <c:v>0.87000000000000055</c:v>
                </c:pt>
                <c:pt idx="88">
                  <c:v>0.88000000000000056</c:v>
                </c:pt>
                <c:pt idx="89">
                  <c:v>0.89000000000000057</c:v>
                </c:pt>
                <c:pt idx="90">
                  <c:v>0.90000000000000058</c:v>
                </c:pt>
                <c:pt idx="91">
                  <c:v>0.91000000000000059</c:v>
                </c:pt>
                <c:pt idx="92">
                  <c:v>0.9200000000000006</c:v>
                </c:pt>
                <c:pt idx="93">
                  <c:v>0.9300000000000006</c:v>
                </c:pt>
                <c:pt idx="94">
                  <c:v>0.94000000000000061</c:v>
                </c:pt>
                <c:pt idx="95">
                  <c:v>0.95000000000000062</c:v>
                </c:pt>
                <c:pt idx="96">
                  <c:v>0.96000000000000063</c:v>
                </c:pt>
                <c:pt idx="97">
                  <c:v>0.97000000000000064</c:v>
                </c:pt>
                <c:pt idx="98">
                  <c:v>0.98000000000000065</c:v>
                </c:pt>
                <c:pt idx="99">
                  <c:v>0.99000000000000066</c:v>
                </c:pt>
                <c:pt idx="100">
                  <c:v>1.0000000000000007</c:v>
                </c:pt>
                <c:pt idx="101">
                  <c:v>1.0100000000000007</c:v>
                </c:pt>
                <c:pt idx="102">
                  <c:v>1.0200000000000007</c:v>
                </c:pt>
                <c:pt idx="103">
                  <c:v>1.0300000000000007</c:v>
                </c:pt>
                <c:pt idx="104">
                  <c:v>1.0400000000000007</c:v>
                </c:pt>
                <c:pt idx="105">
                  <c:v>1.0500000000000007</c:v>
                </c:pt>
                <c:pt idx="106">
                  <c:v>1.0600000000000007</c:v>
                </c:pt>
                <c:pt idx="107">
                  <c:v>1.0700000000000007</c:v>
                </c:pt>
                <c:pt idx="108">
                  <c:v>1.0800000000000007</c:v>
                </c:pt>
                <c:pt idx="109">
                  <c:v>1.0900000000000007</c:v>
                </c:pt>
                <c:pt idx="110">
                  <c:v>1.1000000000000008</c:v>
                </c:pt>
                <c:pt idx="111">
                  <c:v>1.1100000000000008</c:v>
                </c:pt>
                <c:pt idx="112">
                  <c:v>1.1200000000000008</c:v>
                </c:pt>
                <c:pt idx="113">
                  <c:v>1.1300000000000008</c:v>
                </c:pt>
                <c:pt idx="114">
                  <c:v>1.1400000000000008</c:v>
                </c:pt>
                <c:pt idx="115">
                  <c:v>1.1500000000000008</c:v>
                </c:pt>
                <c:pt idx="116">
                  <c:v>1.1600000000000008</c:v>
                </c:pt>
                <c:pt idx="117">
                  <c:v>1.1700000000000008</c:v>
                </c:pt>
                <c:pt idx="118">
                  <c:v>1.1800000000000008</c:v>
                </c:pt>
                <c:pt idx="119">
                  <c:v>1.1900000000000008</c:v>
                </c:pt>
                <c:pt idx="120">
                  <c:v>1.2000000000000008</c:v>
                </c:pt>
                <c:pt idx="121">
                  <c:v>1.2100000000000009</c:v>
                </c:pt>
                <c:pt idx="122">
                  <c:v>1.2200000000000009</c:v>
                </c:pt>
                <c:pt idx="123">
                  <c:v>1.2300000000000009</c:v>
                </c:pt>
                <c:pt idx="124">
                  <c:v>1.2400000000000009</c:v>
                </c:pt>
                <c:pt idx="125">
                  <c:v>1.2500000000000009</c:v>
                </c:pt>
                <c:pt idx="126">
                  <c:v>1.2600000000000009</c:v>
                </c:pt>
                <c:pt idx="127">
                  <c:v>1.2700000000000009</c:v>
                </c:pt>
                <c:pt idx="128">
                  <c:v>1.2800000000000009</c:v>
                </c:pt>
                <c:pt idx="129">
                  <c:v>1.2900000000000009</c:v>
                </c:pt>
                <c:pt idx="130">
                  <c:v>1.3000000000000009</c:v>
                </c:pt>
                <c:pt idx="131">
                  <c:v>1.3100000000000009</c:v>
                </c:pt>
                <c:pt idx="132">
                  <c:v>1.320000000000001</c:v>
                </c:pt>
                <c:pt idx="133">
                  <c:v>1.330000000000001</c:v>
                </c:pt>
                <c:pt idx="134">
                  <c:v>1.340000000000001</c:v>
                </c:pt>
                <c:pt idx="135">
                  <c:v>1.350000000000001</c:v>
                </c:pt>
                <c:pt idx="136">
                  <c:v>1.360000000000001</c:v>
                </c:pt>
                <c:pt idx="137">
                  <c:v>1.370000000000001</c:v>
                </c:pt>
                <c:pt idx="138">
                  <c:v>1.380000000000001</c:v>
                </c:pt>
                <c:pt idx="139">
                  <c:v>1.390000000000001</c:v>
                </c:pt>
                <c:pt idx="140">
                  <c:v>1.400000000000001</c:v>
                </c:pt>
                <c:pt idx="141">
                  <c:v>1.410000000000001</c:v>
                </c:pt>
                <c:pt idx="142">
                  <c:v>1.420000000000001</c:v>
                </c:pt>
                <c:pt idx="143">
                  <c:v>1.430000000000001</c:v>
                </c:pt>
                <c:pt idx="144">
                  <c:v>1.4400000000000011</c:v>
                </c:pt>
                <c:pt idx="145">
                  <c:v>1.4500000000000011</c:v>
                </c:pt>
                <c:pt idx="146">
                  <c:v>1.4600000000000011</c:v>
                </c:pt>
                <c:pt idx="147">
                  <c:v>1.4700000000000011</c:v>
                </c:pt>
                <c:pt idx="148">
                  <c:v>1.4800000000000011</c:v>
                </c:pt>
                <c:pt idx="149">
                  <c:v>1.4900000000000011</c:v>
                </c:pt>
                <c:pt idx="150">
                  <c:v>1.5000000000000011</c:v>
                </c:pt>
                <c:pt idx="151">
                  <c:v>1.5100000000000011</c:v>
                </c:pt>
                <c:pt idx="152">
                  <c:v>1.5200000000000011</c:v>
                </c:pt>
                <c:pt idx="153">
                  <c:v>1.5300000000000011</c:v>
                </c:pt>
                <c:pt idx="154">
                  <c:v>1.5400000000000011</c:v>
                </c:pt>
                <c:pt idx="155">
                  <c:v>1.5500000000000012</c:v>
                </c:pt>
                <c:pt idx="156">
                  <c:v>1.5600000000000012</c:v>
                </c:pt>
                <c:pt idx="157">
                  <c:v>1.5700000000000012</c:v>
                </c:pt>
                <c:pt idx="158">
                  <c:v>1.5800000000000012</c:v>
                </c:pt>
                <c:pt idx="159">
                  <c:v>1.5900000000000012</c:v>
                </c:pt>
                <c:pt idx="160">
                  <c:v>1.6000000000000012</c:v>
                </c:pt>
                <c:pt idx="161">
                  <c:v>1.6100000000000012</c:v>
                </c:pt>
                <c:pt idx="162">
                  <c:v>1.6200000000000012</c:v>
                </c:pt>
                <c:pt idx="163">
                  <c:v>1.6300000000000012</c:v>
                </c:pt>
                <c:pt idx="164">
                  <c:v>1.6400000000000012</c:v>
                </c:pt>
                <c:pt idx="165">
                  <c:v>1.6500000000000012</c:v>
                </c:pt>
                <c:pt idx="166">
                  <c:v>1.6600000000000013</c:v>
                </c:pt>
                <c:pt idx="167">
                  <c:v>1.6700000000000013</c:v>
                </c:pt>
                <c:pt idx="168">
                  <c:v>1.6800000000000013</c:v>
                </c:pt>
                <c:pt idx="169">
                  <c:v>1.6900000000000013</c:v>
                </c:pt>
                <c:pt idx="170">
                  <c:v>1.7000000000000013</c:v>
                </c:pt>
                <c:pt idx="171">
                  <c:v>1.7100000000000013</c:v>
                </c:pt>
                <c:pt idx="172">
                  <c:v>1.7200000000000013</c:v>
                </c:pt>
                <c:pt idx="173">
                  <c:v>1.7300000000000013</c:v>
                </c:pt>
                <c:pt idx="174">
                  <c:v>1.7400000000000013</c:v>
                </c:pt>
                <c:pt idx="175">
                  <c:v>1.7500000000000013</c:v>
                </c:pt>
                <c:pt idx="176">
                  <c:v>1.7600000000000013</c:v>
                </c:pt>
                <c:pt idx="177">
                  <c:v>1.7700000000000014</c:v>
                </c:pt>
                <c:pt idx="178">
                  <c:v>1.7800000000000014</c:v>
                </c:pt>
                <c:pt idx="179">
                  <c:v>1.7900000000000014</c:v>
                </c:pt>
                <c:pt idx="180">
                  <c:v>1.8000000000000014</c:v>
                </c:pt>
                <c:pt idx="181">
                  <c:v>1.8100000000000014</c:v>
                </c:pt>
                <c:pt idx="182">
                  <c:v>1.8200000000000014</c:v>
                </c:pt>
                <c:pt idx="183">
                  <c:v>1.8300000000000014</c:v>
                </c:pt>
                <c:pt idx="184">
                  <c:v>1.8400000000000014</c:v>
                </c:pt>
                <c:pt idx="185">
                  <c:v>1.8500000000000014</c:v>
                </c:pt>
                <c:pt idx="186">
                  <c:v>1.8600000000000014</c:v>
                </c:pt>
                <c:pt idx="187">
                  <c:v>1.8700000000000014</c:v>
                </c:pt>
                <c:pt idx="188">
                  <c:v>1.8800000000000014</c:v>
                </c:pt>
                <c:pt idx="189">
                  <c:v>1.8900000000000015</c:v>
                </c:pt>
                <c:pt idx="190">
                  <c:v>1.9000000000000015</c:v>
                </c:pt>
                <c:pt idx="191">
                  <c:v>1.9100000000000015</c:v>
                </c:pt>
                <c:pt idx="192">
                  <c:v>1.9200000000000015</c:v>
                </c:pt>
                <c:pt idx="193">
                  <c:v>1.9300000000000015</c:v>
                </c:pt>
                <c:pt idx="194">
                  <c:v>1.9400000000000015</c:v>
                </c:pt>
                <c:pt idx="195">
                  <c:v>1.9500000000000015</c:v>
                </c:pt>
                <c:pt idx="196">
                  <c:v>1.9600000000000015</c:v>
                </c:pt>
                <c:pt idx="197">
                  <c:v>1.9700000000000015</c:v>
                </c:pt>
                <c:pt idx="198">
                  <c:v>1.9800000000000015</c:v>
                </c:pt>
                <c:pt idx="199">
                  <c:v>1.9900000000000015</c:v>
                </c:pt>
                <c:pt idx="200">
                  <c:v>2.0000000000000013</c:v>
                </c:pt>
                <c:pt idx="201">
                  <c:v>2.0100000000000011</c:v>
                </c:pt>
                <c:pt idx="202">
                  <c:v>2.0200000000000009</c:v>
                </c:pt>
                <c:pt idx="203">
                  <c:v>2.0300000000000007</c:v>
                </c:pt>
                <c:pt idx="204">
                  <c:v>2.0400000000000005</c:v>
                </c:pt>
                <c:pt idx="205">
                  <c:v>2.0500000000000003</c:v>
                </c:pt>
                <c:pt idx="206">
                  <c:v>2.06</c:v>
                </c:pt>
                <c:pt idx="207">
                  <c:v>2.0699999999999998</c:v>
                </c:pt>
                <c:pt idx="208">
                  <c:v>2.0799999999999996</c:v>
                </c:pt>
                <c:pt idx="209">
                  <c:v>2.0899999999999994</c:v>
                </c:pt>
                <c:pt idx="210">
                  <c:v>2.0999999999999992</c:v>
                </c:pt>
                <c:pt idx="211">
                  <c:v>2.109999999999999</c:v>
                </c:pt>
                <c:pt idx="212">
                  <c:v>2.1199999999999988</c:v>
                </c:pt>
                <c:pt idx="213">
                  <c:v>2.1299999999999986</c:v>
                </c:pt>
                <c:pt idx="214">
                  <c:v>2.1399999999999983</c:v>
                </c:pt>
                <c:pt idx="215">
                  <c:v>2.1499999999999981</c:v>
                </c:pt>
                <c:pt idx="216">
                  <c:v>2.1599999999999979</c:v>
                </c:pt>
                <c:pt idx="217">
                  <c:v>2.1699999999999977</c:v>
                </c:pt>
                <c:pt idx="218">
                  <c:v>2.1799999999999975</c:v>
                </c:pt>
                <c:pt idx="219">
                  <c:v>2.1899999999999973</c:v>
                </c:pt>
                <c:pt idx="220">
                  <c:v>2.1999999999999971</c:v>
                </c:pt>
                <c:pt idx="221">
                  <c:v>2.2099999999999969</c:v>
                </c:pt>
                <c:pt idx="222">
                  <c:v>2.2199999999999966</c:v>
                </c:pt>
                <c:pt idx="223">
                  <c:v>2.2299999999999964</c:v>
                </c:pt>
                <c:pt idx="224">
                  <c:v>2.2399999999999962</c:v>
                </c:pt>
                <c:pt idx="225">
                  <c:v>2.249999999999996</c:v>
                </c:pt>
                <c:pt idx="226">
                  <c:v>2.2599999999999958</c:v>
                </c:pt>
                <c:pt idx="227">
                  <c:v>2.2699999999999956</c:v>
                </c:pt>
                <c:pt idx="228">
                  <c:v>2.2799999999999954</c:v>
                </c:pt>
                <c:pt idx="229">
                  <c:v>2.2899999999999952</c:v>
                </c:pt>
                <c:pt idx="230">
                  <c:v>2.2999999999999949</c:v>
                </c:pt>
                <c:pt idx="231">
                  <c:v>2.3099999999999947</c:v>
                </c:pt>
                <c:pt idx="232">
                  <c:v>2.3199999999999945</c:v>
                </c:pt>
                <c:pt idx="233">
                  <c:v>2.3299999999999943</c:v>
                </c:pt>
                <c:pt idx="234">
                  <c:v>2.3399999999999941</c:v>
                </c:pt>
                <c:pt idx="235">
                  <c:v>2.3499999999999939</c:v>
                </c:pt>
                <c:pt idx="236">
                  <c:v>2.3599999999999937</c:v>
                </c:pt>
                <c:pt idx="237">
                  <c:v>2.3699999999999934</c:v>
                </c:pt>
                <c:pt idx="238">
                  <c:v>2.3799999999999932</c:v>
                </c:pt>
                <c:pt idx="239">
                  <c:v>2.389999999999993</c:v>
                </c:pt>
                <c:pt idx="240">
                  <c:v>2.3999999999999928</c:v>
                </c:pt>
                <c:pt idx="241">
                  <c:v>2.4099999999999926</c:v>
                </c:pt>
                <c:pt idx="242">
                  <c:v>2.4199999999999924</c:v>
                </c:pt>
                <c:pt idx="243">
                  <c:v>2.4299999999999922</c:v>
                </c:pt>
                <c:pt idx="244">
                  <c:v>2.439999999999992</c:v>
                </c:pt>
                <c:pt idx="245">
                  <c:v>2.4499999999999917</c:v>
                </c:pt>
                <c:pt idx="246">
                  <c:v>2.4599999999999915</c:v>
                </c:pt>
                <c:pt idx="247">
                  <c:v>2.4699999999999913</c:v>
                </c:pt>
                <c:pt idx="248">
                  <c:v>2.4799999999999911</c:v>
                </c:pt>
                <c:pt idx="249">
                  <c:v>2.4899999999999909</c:v>
                </c:pt>
                <c:pt idx="250">
                  <c:v>2.4999999999999907</c:v>
                </c:pt>
                <c:pt idx="251">
                  <c:v>2.5099999999999905</c:v>
                </c:pt>
                <c:pt idx="252">
                  <c:v>2.5199999999999902</c:v>
                </c:pt>
                <c:pt idx="253">
                  <c:v>2.52999999999999</c:v>
                </c:pt>
                <c:pt idx="254">
                  <c:v>2.5399999999999898</c:v>
                </c:pt>
                <c:pt idx="255">
                  <c:v>2.5499999999999896</c:v>
                </c:pt>
                <c:pt idx="256">
                  <c:v>2.5599999999999894</c:v>
                </c:pt>
                <c:pt idx="257">
                  <c:v>2.5699999999999892</c:v>
                </c:pt>
                <c:pt idx="258">
                  <c:v>2.579999999999989</c:v>
                </c:pt>
                <c:pt idx="259">
                  <c:v>2.5899999999999888</c:v>
                </c:pt>
                <c:pt idx="260">
                  <c:v>2.5999999999999885</c:v>
                </c:pt>
                <c:pt idx="261">
                  <c:v>2.6099999999999883</c:v>
                </c:pt>
                <c:pt idx="262">
                  <c:v>2.6199999999999881</c:v>
                </c:pt>
                <c:pt idx="263">
                  <c:v>2.6299999999999879</c:v>
                </c:pt>
                <c:pt idx="264">
                  <c:v>2.6399999999999877</c:v>
                </c:pt>
                <c:pt idx="265">
                  <c:v>2.6499999999999875</c:v>
                </c:pt>
                <c:pt idx="266">
                  <c:v>2.6599999999999873</c:v>
                </c:pt>
                <c:pt idx="267">
                  <c:v>2.6699999999999871</c:v>
                </c:pt>
                <c:pt idx="268">
                  <c:v>2.6799999999999868</c:v>
                </c:pt>
                <c:pt idx="269">
                  <c:v>2.6899999999999866</c:v>
                </c:pt>
                <c:pt idx="270">
                  <c:v>2.6999999999999864</c:v>
                </c:pt>
                <c:pt idx="271">
                  <c:v>2.7099999999999862</c:v>
                </c:pt>
                <c:pt idx="272">
                  <c:v>2.719999999999986</c:v>
                </c:pt>
                <c:pt idx="273">
                  <c:v>2.7299999999999858</c:v>
                </c:pt>
                <c:pt idx="274">
                  <c:v>2.7399999999999856</c:v>
                </c:pt>
                <c:pt idx="275">
                  <c:v>2.7499999999999853</c:v>
                </c:pt>
                <c:pt idx="276">
                  <c:v>2.7599999999999851</c:v>
                </c:pt>
                <c:pt idx="277">
                  <c:v>2.7699999999999849</c:v>
                </c:pt>
                <c:pt idx="278">
                  <c:v>2.7799999999999847</c:v>
                </c:pt>
                <c:pt idx="279">
                  <c:v>2.7899999999999845</c:v>
                </c:pt>
                <c:pt idx="280">
                  <c:v>2.7999999999999843</c:v>
                </c:pt>
                <c:pt idx="281">
                  <c:v>2.8099999999999841</c:v>
                </c:pt>
                <c:pt idx="282">
                  <c:v>2.8199999999999839</c:v>
                </c:pt>
                <c:pt idx="283">
                  <c:v>2.8299999999999836</c:v>
                </c:pt>
                <c:pt idx="284">
                  <c:v>2.8399999999999834</c:v>
                </c:pt>
                <c:pt idx="285">
                  <c:v>2.8499999999999832</c:v>
                </c:pt>
                <c:pt idx="286">
                  <c:v>2.859999999999983</c:v>
                </c:pt>
                <c:pt idx="287">
                  <c:v>2.8699999999999828</c:v>
                </c:pt>
                <c:pt idx="288">
                  <c:v>2.8799999999999826</c:v>
                </c:pt>
                <c:pt idx="289">
                  <c:v>2.8899999999999824</c:v>
                </c:pt>
                <c:pt idx="290">
                  <c:v>2.8999999999999821</c:v>
                </c:pt>
                <c:pt idx="291">
                  <c:v>2.9099999999999819</c:v>
                </c:pt>
                <c:pt idx="292">
                  <c:v>2.9199999999999817</c:v>
                </c:pt>
                <c:pt idx="293">
                  <c:v>2.9299999999999815</c:v>
                </c:pt>
                <c:pt idx="294">
                  <c:v>2.9399999999999813</c:v>
                </c:pt>
                <c:pt idx="295">
                  <c:v>2.9499999999999811</c:v>
                </c:pt>
                <c:pt idx="296">
                  <c:v>2.9599999999999809</c:v>
                </c:pt>
                <c:pt idx="297">
                  <c:v>2.9699999999999807</c:v>
                </c:pt>
                <c:pt idx="298">
                  <c:v>2.9799999999999804</c:v>
                </c:pt>
                <c:pt idx="299">
                  <c:v>2.9899999999999802</c:v>
                </c:pt>
                <c:pt idx="300">
                  <c:v>2.99999999999998</c:v>
                </c:pt>
              </c:numCache>
            </c:numRef>
          </c:xVal>
          <c:yVal>
            <c:numRef>
              <c:f>Sheet1!$N$6:$N$306</c:f>
              <c:numCache>
                <c:formatCode>General</c:formatCode>
                <c:ptCount val="301"/>
                <c:pt idx="0">
                  <c:v>0</c:v>
                </c:pt>
                <c:pt idx="1">
                  <c:v>3.9663153939347877</c:v>
                </c:pt>
                <c:pt idx="2">
                  <c:v>7.8443008033644501</c:v>
                </c:pt>
                <c:pt idx="3">
                  <c:v>11.635923340176914</c:v>
                </c:pt>
                <c:pt idx="4">
                  <c:v>15.34310630860859</c:v>
                </c:pt>
                <c:pt idx="5">
                  <c:v>18.967730180842324</c:v>
                </c:pt>
                <c:pt idx="6">
                  <c:v>22.511633550878756</c:v>
                </c:pt>
                <c:pt idx="7">
                  <c:v>25.976614067164913</c:v>
                </c:pt>
                <c:pt idx="8">
                  <c:v>28.780043095159293</c:v>
                </c:pt>
                <c:pt idx="9">
                  <c:v>28.835830464088961</c:v>
                </c:pt>
                <c:pt idx="10">
                  <c:v>27.612137680846278</c:v>
                </c:pt>
                <c:pt idx="11">
                  <c:v>26.063256484219533</c:v>
                </c:pt>
                <c:pt idx="12">
                  <c:v>24.307721360696736</c:v>
                </c:pt>
                <c:pt idx="13">
                  <c:v>22.444184399951933</c:v>
                </c:pt>
                <c:pt idx="14">
                  <c:v>20.602624895519483</c:v>
                </c:pt>
                <c:pt idx="15">
                  <c:v>18.845748946621644</c:v>
                </c:pt>
                <c:pt idx="16">
                  <c:v>17.195179061018855</c:v>
                </c:pt>
                <c:pt idx="17">
                  <c:v>15.662021912659768</c:v>
                </c:pt>
                <c:pt idx="18">
                  <c:v>14.250007721607718</c:v>
                </c:pt>
                <c:pt idx="19">
                  <c:v>12.956390710679065</c:v>
                </c:pt>
                <c:pt idx="20">
                  <c:v>11.775215182372607</c:v>
                </c:pt>
                <c:pt idx="21">
                  <c:v>10.699250664777797</c:v>
                </c:pt>
                <c:pt idx="22">
                  <c:v>9.720712422749898</c:v>
                </c:pt>
                <c:pt idx="23">
                  <c:v>8.8317296053098637</c:v>
                </c:pt>
                <c:pt idx="24">
                  <c:v>8.0246799848713177</c:v>
                </c:pt>
                <c:pt idx="25">
                  <c:v>7.2923581027474267</c:v>
                </c:pt>
                <c:pt idx="26">
                  <c:v>6.6280456300653015</c:v>
                </c:pt>
                <c:pt idx="27">
                  <c:v>6.0255369160457564</c:v>
                </c:pt>
                <c:pt idx="28">
                  <c:v>5.4791367326491294</c:v>
                </c:pt>
                <c:pt idx="29">
                  <c:v>4.9836403152357258</c:v>
                </c:pt>
                <c:pt idx="30">
                  <c:v>4.534304520560541</c:v>
                </c:pt>
                <c:pt idx="31">
                  <c:v>4.1268152823408562</c:v>
                </c:pt>
                <c:pt idx="32">
                  <c:v>3.7572540245940003</c:v>
                </c:pt>
                <c:pt idx="33">
                  <c:v>3.4220646314207976</c:v>
                </c:pt>
                <c:pt idx="34">
                  <c:v>3.1180219210204925</c:v>
                </c:pt>
                <c:pt idx="35">
                  <c:v>2.8422020924467493</c:v>
                </c:pt>
                <c:pt idx="36">
                  <c:v>2.5919553312847228</c:v>
                </c:pt>
                <c:pt idx="37">
                  <c:v>2.3648806064680379</c:v>
                </c:pt>
                <c:pt idx="38">
                  <c:v>2.1588026001663123</c:v>
                </c:pt>
                <c:pt idx="39">
                  <c:v>1.9717506617152027</c:v>
                </c:pt>
                <c:pt idx="40">
                  <c:v>1.8019396520733779</c:v>
                </c:pt>
                <c:pt idx="41">
                  <c:v>1.6477525364314065</c:v>
                </c:pt>
                <c:pt idx="42">
                  <c:v>1.5077245825158727</c:v>
                </c:pt>
                <c:pt idx="43">
                  <c:v>1.3805290270919839</c:v>
                </c:pt>
                <c:pt idx="44">
                  <c:v>1.2649640808629401</c:v>
                </c:pt>
                <c:pt idx="45">
                  <c:v>1.1599411509199595</c:v>
                </c:pt>
                <c:pt idx="46">
                  <c:v>1.0644741692395019</c:v>
                </c:pt>
                <c:pt idx="47">
                  <c:v>0.97766992495989335</c:v>
                </c:pt>
                <c:pt idx="48">
                  <c:v>0.89871930701751312</c:v>
                </c:pt>
                <c:pt idx="49">
                  <c:v>0.82688937203807888</c:v>
                </c:pt>
                <c:pt idx="50">
                  <c:v>0.76151616009879064</c:v>
                </c:pt>
                <c:pt idx="51">
                  <c:v>0.7019981880848879</c:v>
                </c:pt>
                <c:pt idx="52">
                  <c:v>0.64779055687661802</c:v>
                </c:pt>
                <c:pt idx="53">
                  <c:v>0.59839961454541213</c:v>
                </c:pt>
                <c:pt idx="54">
                  <c:v>0.55337812314847634</c:v>
                </c:pt>
                <c:pt idx="55">
                  <c:v>0.51232088162957901</c:v>
                </c:pt>
                <c:pt idx="56">
                  <c:v>0.47486076179860737</c:v>
                </c:pt>
                <c:pt idx="57">
                  <c:v>0.44066511841275663</c:v>
                </c:pt>
                <c:pt idx="58">
                  <c:v>0.40943253805484003</c:v>
                </c:pt>
                <c:pt idx="59">
                  <c:v>0.38088989483273156</c:v>
                </c:pt>
                <c:pt idx="60">
                  <c:v>0.35478968393988286</c:v>
                </c:pt>
                <c:pt idx="61">
                  <c:v>0.33090760684934201</c:v>
                </c:pt>
                <c:pt idx="62">
                  <c:v>0.30904038438827119</c:v>
                </c:pt>
                <c:pt idx="63">
                  <c:v>0.28900377618215278</c:v>
                </c:pt>
                <c:pt idx="64">
                  <c:v>0.27063078698843734</c:v>
                </c:pt>
                <c:pt idx="65">
                  <c:v>0.25377004227741784</c:v>
                </c:pt>
                <c:pt idx="66">
                  <c:v>0.23828431708440179</c:v>
                </c:pt>
                <c:pt idx="67">
                  <c:v>0.22404920366480668</c:v>
                </c:pt>
                <c:pt idx="68">
                  <c:v>0.21095190485022339</c:v>
                </c:pt>
                <c:pt idx="69">
                  <c:v>0.19889014123956972</c:v>
                </c:pt>
                <c:pt idx="70">
                  <c:v>0.18777116148052933</c:v>
                </c:pt>
                <c:pt idx="71">
                  <c:v>0.17751084591015751</c:v>
                </c:pt>
                <c:pt idx="72">
                  <c:v>0.16803289474277952</c:v>
                </c:pt>
                <c:pt idx="73">
                  <c:v>0.15926809282474996</c:v>
                </c:pt>
                <c:pt idx="74">
                  <c:v>0.15115364372893725</c:v>
                </c:pt>
                <c:pt idx="75">
                  <c:v>0.14363256664491575</c:v>
                </c:pt>
                <c:pt idx="76">
                  <c:v>0.13665315013756091</c:v>
                </c:pt>
                <c:pt idx="77">
                  <c:v>0.13016845740689431</c:v>
                </c:pt>
                <c:pt idx="78">
                  <c:v>0.12413587818889094</c:v>
                </c:pt>
                <c:pt idx="79">
                  <c:v>0.11851672289492592</c:v>
                </c:pt>
                <c:pt idx="80">
                  <c:v>0.1132758550044128</c:v>
                </c:pt>
                <c:pt idx="81">
                  <c:v>0.10838135809998878</c:v>
                </c:pt>
                <c:pt idx="82">
                  <c:v>0.10380423427673621</c:v>
                </c:pt>
                <c:pt idx="83">
                  <c:v>9.9518130964553739E-2</c:v>
                </c:pt>
                <c:pt idx="84">
                  <c:v>9.5499093482851266E-2</c:v>
                </c:pt>
                <c:pt idx="85">
                  <c:v>9.1725340899306215E-2</c:v>
                </c:pt>
                <c:pt idx="86">
                  <c:v>8.8177062994429345E-2</c:v>
                </c:pt>
                <c:pt idx="87">
                  <c:v>8.4836236340255652E-2</c:v>
                </c:pt>
                <c:pt idx="88">
                  <c:v>8.1686457689949935E-2</c:v>
                </c:pt>
                <c:pt idx="89">
                  <c:v>7.8712793045709231E-2</c:v>
                </c:pt>
                <c:pt idx="90">
                  <c:v>7.5901640925527772E-2</c:v>
                </c:pt>
                <c:pt idx="91">
                  <c:v>7.3240608489798464E-2</c:v>
                </c:pt>
                <c:pt idx="92">
                  <c:v>7.0718399314994101E-2</c:v>
                </c:pt>
                <c:pt idx="93">
                  <c:v>6.8324711715702077E-2</c:v>
                </c:pt>
                <c:pt idx="94">
                  <c:v>6.6050146620465031E-2</c:v>
                </c:pt>
                <c:pt idx="95">
                  <c:v>6.3886124100546254E-2</c:v>
                </c:pt>
                <c:pt idx="96">
                  <c:v>6.1824807735979627E-2</c:v>
                </c:pt>
                <c:pt idx="97">
                  <c:v>5.985903607955672E-2</c:v>
                </c:pt>
                <c:pt idx="98">
                  <c:v>5.7982260550286512E-2</c:v>
                </c:pt>
                <c:pt idx="99">
                  <c:v>5.6188489149986122E-2</c:v>
                </c:pt>
                <c:pt idx="100">
                  <c:v>5.447223545426922E-2</c:v>
                </c:pt>
                <c:pt idx="101">
                  <c:v>5.2828472380959238E-2</c:v>
                </c:pt>
                <c:pt idx="102">
                  <c:v>5.1252590285992536E-2</c:v>
                </c:pt>
                <c:pt idx="103">
                  <c:v>4.9740358979004209E-2</c:v>
                </c:pt>
                <c:pt idx="104">
                  <c:v>4.8287893289480965E-2</c:v>
                </c:pt>
                <c:pt idx="105">
                  <c:v>4.6891621849075492E-2</c:v>
                </c:pt>
                <c:pt idx="106">
                  <c:v>4.5548258787691295E-2</c:v>
                </c:pt>
                <c:pt idx="107">
                  <c:v>4.4254778068492338E-2</c:v>
                </c:pt>
                <c:pt idx="108">
                  <c:v>4.3008390213918959E-2</c:v>
                </c:pt>
                <c:pt idx="109">
                  <c:v>4.1806521197694874E-2</c:v>
                </c:pt>
                <c:pt idx="110">
                  <c:v>4.0646793299172396E-2</c:v>
                </c:pt>
                <c:pt idx="111">
                  <c:v>3.9527007735185596E-2</c:v>
                </c:pt>
                <c:pt idx="112">
                  <c:v>3.8445128902832713E-2</c:v>
                </c:pt>
                <c:pt idx="113">
                  <c:v>3.7399270081453898E-2</c:v>
                </c:pt>
                <c:pt idx="114">
                  <c:v>3.6387680456811337E-2</c:v>
                </c:pt>
                <c:pt idx="115">
                  <c:v>3.5408733343569997E-2</c:v>
                </c:pt>
                <c:pt idx="116">
                  <c:v>3.4460915493174232E-2</c:v>
                </c:pt>
                <c:pt idx="117">
                  <c:v>3.3542817385722741E-2</c:v>
                </c:pt>
                <c:pt idx="118">
                  <c:v>3.2653124413413261E-2</c:v>
                </c:pt>
                <c:pt idx="119">
                  <c:v>3.1790608872009019E-2</c:v>
                </c:pt>
                <c:pt idx="120">
                  <c:v>3.0954122684452752E-2</c:v>
                </c:pt>
                <c:pt idx="121">
                  <c:v>3.0142590788605986E-2</c:v>
                </c:pt>
                <c:pt idx="122">
                  <c:v>2.9355005126458666E-2</c:v>
                </c:pt>
                <c:pt idx="123">
                  <c:v>2.8590419178779154E-2</c:v>
                </c:pt>
                <c:pt idx="124">
                  <c:v>2.7847942994514402E-2</c:v>
                </c:pt>
                <c:pt idx="125">
                  <c:v>2.712673866820605E-2</c:v>
                </c:pt>
                <c:pt idx="126">
                  <c:v>2.6426016224321152E-2</c:v>
                </c:pt>
                <c:pt idx="127">
                  <c:v>2.5745029869938516E-2</c:v>
                </c:pt>
                <c:pt idx="128">
                  <c:v>2.5083074581995667E-2</c:v>
                </c:pt>
                <c:pt idx="129">
                  <c:v>2.4439482997763939E-2</c:v>
                </c:pt>
                <c:pt idx="130">
                  <c:v>2.381362258039562E-2</c:v>
                </c:pt>
                <c:pt idx="131">
                  <c:v>2.3204893034201687E-2</c:v>
                </c:pt>
                <c:pt idx="132">
                  <c:v>2.2612723946301753E-2</c:v>
                </c:pt>
                <c:pt idx="133">
                  <c:v>2.2036572633860958E-2</c:v>
                </c:pt>
                <c:pt idx="134">
                  <c:v>2.1475922177847696E-2</c:v>
                </c:pt>
                <c:pt idx="135">
                  <c:v>2.0930279626280232E-2</c:v>
                </c:pt>
                <c:pt idx="136">
                  <c:v>2.0399174351141285E-2</c:v>
                </c:pt>
                <c:pt idx="137">
                  <c:v>1.9882156544984101E-2</c:v>
                </c:pt>
                <c:pt idx="138">
                  <c:v>1.9378795844394836E-2</c:v>
                </c:pt>
                <c:pt idx="139">
                  <c:v>1.8888680068758368E-2</c:v>
                </c:pt>
                <c:pt idx="140">
                  <c:v>1.8411414063698308E-2</c:v>
                </c:pt>
                <c:pt idx="141">
                  <c:v>1.7946618639776476E-2</c:v>
                </c:pt>
                <c:pt idx="142">
                  <c:v>1.749392959776926E-2</c:v>
                </c:pt>
                <c:pt idx="143">
                  <c:v>1.7052996832662985E-2</c:v>
                </c:pt>
                <c:pt idx="144">
                  <c:v>1.6623483509276438E-2</c:v>
                </c:pt>
                <c:pt idx="145">
                  <c:v>1.6205065303026608E-2</c:v>
                </c:pt>
                <c:pt idx="146">
                  <c:v>1.579742970029252E-2</c:v>
                </c:pt>
                <c:pt idx="147">
                  <c:v>1.5400275352491952E-2</c:v>
                </c:pt>
                <c:pt idx="148">
                  <c:v>1.5013311479704897E-2</c:v>
                </c:pt>
                <c:pt idx="149">
                  <c:v>1.4636257318961402E-2</c:v>
                </c:pt>
                <c:pt idx="150">
                  <c:v>1.4268841613674137E-2</c:v>
                </c:pt>
                <c:pt idx="151">
                  <c:v>1.3910802140352155E-2</c:v>
                </c:pt>
                <c:pt idx="152">
                  <c:v>1.3561885269288459E-2</c:v>
                </c:pt>
                <c:pt idx="153">
                  <c:v>1.3221845556671991E-2</c:v>
                </c:pt>
                <c:pt idx="154">
                  <c:v>1.2890445364826128E-2</c:v>
                </c:pt>
                <c:pt idx="155">
                  <c:v>1.2567454508782298E-2</c:v>
                </c:pt>
                <c:pt idx="156">
                  <c:v>1.2252649926407452E-2</c:v>
                </c:pt>
                <c:pt idx="157">
                  <c:v>1.194581537055112E-2</c:v>
                </c:pt>
                <c:pt idx="158">
                  <c:v>1.1646741121051504E-2</c:v>
                </c:pt>
                <c:pt idx="159">
                  <c:v>1.1355223715001101E-2</c:v>
                </c:pt>
                <c:pt idx="160">
                  <c:v>1.1071065694057145E-2</c:v>
                </c:pt>
                <c:pt idx="161">
                  <c:v>1.0794075366870614E-2</c:v>
                </c:pt>
                <c:pt idx="162">
                  <c:v>1.0524066585999758E-2</c:v>
                </c:pt>
                <c:pt idx="163">
                  <c:v>1.0260858537721799E-2</c:v>
                </c:pt>
                <c:pt idx="164">
                  <c:v>1.0004275543856397E-2</c:v>
                </c:pt>
                <c:pt idx="165">
                  <c:v>9.7541468748242113E-3</c:v>
                </c:pt>
                <c:pt idx="166">
                  <c:v>9.5103065726674148E-3</c:v>
                </c:pt>
                <c:pt idx="167">
                  <c:v>9.2725932839104359E-3</c:v>
                </c:pt>
                <c:pt idx="168">
                  <c:v>9.0408501007104708E-3</c:v>
                </c:pt>
                <c:pt idx="169">
                  <c:v>8.8149244104235823E-3</c:v>
                </c:pt>
                <c:pt idx="170">
                  <c:v>8.5946677525044531E-3</c:v>
                </c:pt>
                <c:pt idx="171">
                  <c:v>8.3799356825423905E-3</c:v>
                </c:pt>
                <c:pt idx="172">
                  <c:v>8.1705876424263673E-3</c:v>
                </c:pt>
                <c:pt idx="173">
                  <c:v>7.9664868369153999E-3</c:v>
                </c:pt>
                <c:pt idx="174">
                  <c:v>7.7675001154814969E-3</c:v>
                </c:pt>
                <c:pt idx="175">
                  <c:v>7.5734978596785308E-3</c:v>
                </c:pt>
                <c:pt idx="176">
                  <c:v>7.3843538750024019E-3</c:v>
                </c:pt>
                <c:pt idx="177">
                  <c:v>7.1999452877309147E-3</c:v>
                </c:pt>
                <c:pt idx="178">
                  <c:v>7.0201524457716548E-3</c:v>
                </c:pt>
                <c:pt idx="179">
                  <c:v>6.8448588235865372E-3</c:v>
                </c:pt>
                <c:pt idx="180">
                  <c:v>6.6739509307856314E-3</c:v>
                </c:pt>
                <c:pt idx="181">
                  <c:v>6.5073182244837907E-3</c:v>
                </c:pt>
                <c:pt idx="182">
                  <c:v>6.3448530247568313E-3</c:v>
                </c:pt>
                <c:pt idx="183">
                  <c:v>6.186450433323264E-3</c:v>
                </c:pt>
                <c:pt idx="184">
                  <c:v>6.0320082552041427E-3</c:v>
                </c:pt>
                <c:pt idx="185">
                  <c:v>5.88142692317803E-3</c:v>
                </c:pt>
                <c:pt idx="186">
                  <c:v>5.7346094248745955E-3</c:v>
                </c:pt>
                <c:pt idx="187">
                  <c:v>5.5914612323026197E-3</c:v>
                </c:pt>
                <c:pt idx="188">
                  <c:v>5.4518902339456155E-3</c:v>
                </c:pt>
                <c:pt idx="189">
                  <c:v>5.3158066689113484E-3</c:v>
                </c:pt>
                <c:pt idx="190">
                  <c:v>5.1831230634996296E-3</c:v>
                </c:pt>
                <c:pt idx="191">
                  <c:v>5.0537541694623614E-3</c:v>
                </c:pt>
                <c:pt idx="192">
                  <c:v>4.9276169045639672E-3</c:v>
                </c:pt>
                <c:pt idx="193">
                  <c:v>4.8046302948000393E-3</c:v>
                </c:pt>
                <c:pt idx="194">
                  <c:v>4.684715418548E-3</c:v>
                </c:pt>
                <c:pt idx="195">
                  <c:v>4.5677953522739491E-3</c:v>
                </c:pt>
                <c:pt idx="196">
                  <c:v>4.4537951179621765E-3</c:v>
                </c:pt>
                <c:pt idx="197">
                  <c:v>4.3426416321363489E-3</c:v>
                </c:pt>
                <c:pt idx="198">
                  <c:v>4.2342636563600959E-3</c:v>
                </c:pt>
                <c:pt idx="199">
                  <c:v>4.1285917491177488E-3</c:v>
                </c:pt>
                <c:pt idx="200">
                  <c:v>4.0255582192442532E-3</c:v>
                </c:pt>
                <c:pt idx="201">
                  <c:v>3.9250970804469891E-3</c:v>
                </c:pt>
                <c:pt idx="202">
                  <c:v>3.8271440074167666E-3</c:v>
                </c:pt>
                <c:pt idx="203">
                  <c:v>3.7316362929247023E-3</c:v>
                </c:pt>
                <c:pt idx="204">
                  <c:v>3.6385128062592781E-3</c:v>
                </c:pt>
                <c:pt idx="205">
                  <c:v>3.5477139527377035E-3</c:v>
                </c:pt>
                <c:pt idx="206">
                  <c:v>3.4591816344435836E-3</c:v>
                </c:pt>
                <c:pt idx="207">
                  <c:v>3.3728592118416642E-3</c:v>
                </c:pt>
                <c:pt idx="208">
                  <c:v>3.2886914666699243E-3</c:v>
                </c:pt>
                <c:pt idx="209">
                  <c:v>3.2066245657003216E-3</c:v>
                </c:pt>
                <c:pt idx="210">
                  <c:v>3.1266060254250116E-3</c:v>
                </c:pt>
                <c:pt idx="211">
                  <c:v>3.0485846779013861E-3</c:v>
                </c:pt>
                <c:pt idx="212">
                  <c:v>2.9725106372092149E-3</c:v>
                </c:pt>
                <c:pt idx="213">
                  <c:v>2.8983352670963886E-3</c:v>
                </c:pt>
                <c:pt idx="214">
                  <c:v>2.8260111492844691E-3</c:v>
                </c:pt>
                <c:pt idx="215">
                  <c:v>2.7554920525932904E-3</c:v>
                </c:pt>
                <c:pt idx="216">
                  <c:v>2.686732903062621E-3</c:v>
                </c:pt>
                <c:pt idx="217">
                  <c:v>2.6196897546901334E-3</c:v>
                </c:pt>
                <c:pt idx="218">
                  <c:v>2.5543197609430393E-3</c:v>
                </c:pt>
                <c:pt idx="219">
                  <c:v>2.4905811471232671E-3</c:v>
                </c:pt>
                <c:pt idx="220">
                  <c:v>2.428433183308465E-3</c:v>
                </c:pt>
                <c:pt idx="221">
                  <c:v>2.367836158056638E-3</c:v>
                </c:pt>
                <c:pt idx="222">
                  <c:v>2.3087513527740525E-3</c:v>
                </c:pt>
                <c:pt idx="223">
                  <c:v>2.2511410168659478E-3</c:v>
                </c:pt>
                <c:pt idx="224">
                  <c:v>2.1949683432752431E-3</c:v>
                </c:pt>
                <c:pt idx="225">
                  <c:v>2.1401974448097467E-3</c:v>
                </c:pt>
                <c:pt idx="226">
                  <c:v>2.086793331149596E-3</c:v>
                </c:pt>
                <c:pt idx="227">
                  <c:v>2.0347218862216748E-3</c:v>
                </c:pt>
                <c:pt idx="228">
                  <c:v>1.9839498463288027E-3</c:v>
                </c:pt>
                <c:pt idx="229">
                  <c:v>1.9344447787840874E-3</c:v>
                </c:pt>
                <c:pt idx="230">
                  <c:v>1.8861750610349281E-3</c:v>
                </c:pt>
                <c:pt idx="231">
                  <c:v>1.8391098604887725E-3</c:v>
                </c:pt>
                <c:pt idx="232">
                  <c:v>1.7932191145194831E-3</c:v>
                </c:pt>
                <c:pt idx="233">
                  <c:v>1.7484735113579737E-3</c:v>
                </c:pt>
                <c:pt idx="234">
                  <c:v>1.7048444712337838E-3</c:v>
                </c:pt>
                <c:pt idx="235">
                  <c:v>1.662304128040514E-3</c:v>
                </c:pt>
                <c:pt idx="236">
                  <c:v>1.620825311538237E-3</c:v>
                </c:pt>
                <c:pt idx="237">
                  <c:v>1.5803815297935602E-3</c:v>
                </c:pt>
                <c:pt idx="238">
                  <c:v>1.5409469523965775E-3</c:v>
                </c:pt>
                <c:pt idx="239">
                  <c:v>1.5024963938348799E-3</c:v>
                </c:pt>
                <c:pt idx="240">
                  <c:v>1.4650052973281822E-3</c:v>
                </c:pt>
                <c:pt idx="241">
                  <c:v>1.42844971916898E-3</c:v>
                </c:pt>
                <c:pt idx="242">
                  <c:v>1.3928063133800295E-3</c:v>
                </c:pt>
                <c:pt idx="243">
                  <c:v>1.3580523167533341E-3</c:v>
                </c:pt>
                <c:pt idx="244">
                  <c:v>1.3241655342614701E-3</c:v>
                </c:pt>
                <c:pt idx="245">
                  <c:v>1.2911243249906109E-3</c:v>
                </c:pt>
                <c:pt idx="246">
                  <c:v>1.258907588110834E-3</c:v>
                </c:pt>
                <c:pt idx="247">
                  <c:v>1.2274947495558586E-3</c:v>
                </c:pt>
                <c:pt idx="248">
                  <c:v>1.1968657486873611E-3</c:v>
                </c:pt>
                <c:pt idx="249">
                  <c:v>1.1670010256439392E-3</c:v>
                </c:pt>
                <c:pt idx="250">
                  <c:v>1.1378815087129386E-3</c:v>
                </c:pt>
                <c:pt idx="251">
                  <c:v>1.1094886021948242E-3</c:v>
                </c:pt>
                <c:pt idx="252">
                  <c:v>1.0818041744811383E-3</c:v>
                </c:pt>
                <c:pt idx="253">
                  <c:v>1.0548105464869497E-3</c:v>
                </c:pt>
                <c:pt idx="254">
                  <c:v>1.0284904803540503E-3</c:v>
                </c:pt>
                <c:pt idx="255">
                  <c:v>1.0028271684244707E-3</c:v>
                </c:pt>
                <c:pt idx="256">
                  <c:v>9.7780422246140854E-4</c:v>
                </c:pt>
                <c:pt idx="257">
                  <c:v>9.5340566325385098E-4</c:v>
                </c:pt>
                <c:pt idx="258">
                  <c:v>9.2961591035492399E-4</c:v>
                </c:pt>
                <c:pt idx="259">
                  <c:v>9.0641977216681139E-4</c:v>
                </c:pt>
                <c:pt idx="260">
                  <c:v>8.838024361145267E-4</c:v>
                </c:pt>
                <c:pt idx="261">
                  <c:v>8.6174945940020048E-4</c:v>
                </c:pt>
                <c:pt idx="262">
                  <c:v>8.4024675951671916E-4</c:v>
                </c:pt>
                <c:pt idx="263">
                  <c:v>8.1928060546585467E-4</c:v>
                </c:pt>
                <c:pt idx="264">
                  <c:v>7.9883760889270215E-4</c:v>
                </c:pt>
                <c:pt idx="265">
                  <c:v>7.7890471551629733E-4</c:v>
                </c:pt>
                <c:pt idx="266">
                  <c:v>7.5946919683980208E-4</c:v>
                </c:pt>
                <c:pt idx="267">
                  <c:v>7.4051864195272829E-4</c:v>
                </c:pt>
                <c:pt idx="268">
                  <c:v>7.2204094966146217E-4</c:v>
                </c:pt>
                <c:pt idx="269">
                  <c:v>7.0402432080264436E-4</c:v>
                </c:pt>
                <c:pt idx="270">
                  <c:v>6.8645725057146442E-4</c:v>
                </c:pt>
                <c:pt idx="271">
                  <c:v>6.6932852130618633E-4</c:v>
                </c:pt>
                <c:pt idx="272">
                  <c:v>6.5262719520401346E-4</c:v>
                </c:pt>
                <c:pt idx="273">
                  <c:v>6.3634260746295377E-4</c:v>
                </c:pt>
                <c:pt idx="274">
                  <c:v>6.2046435936502031E-4</c:v>
                </c:pt>
                <c:pt idx="275">
                  <c:v>6.0498231167893061E-4</c:v>
                </c:pt>
                <c:pt idx="276">
                  <c:v>5.8988657821301422E-4</c:v>
                </c:pt>
                <c:pt idx="277">
                  <c:v>5.7516751940030772E-4</c:v>
                </c:pt>
                <c:pt idx="278">
                  <c:v>5.6081573628110671E-4</c:v>
                </c:pt>
                <c:pt idx="279">
                  <c:v>5.4682206441550362E-4</c:v>
                </c:pt>
                <c:pt idx="280">
                  <c:v>5.3317756800279423E-4</c:v>
                </c:pt>
                <c:pt idx="281">
                  <c:v>5.1987353422457117E-4</c:v>
                </c:pt>
                <c:pt idx="282">
                  <c:v>5.0690146774410531E-4</c:v>
                </c:pt>
                <c:pt idx="283">
                  <c:v>4.9425308508885724E-4</c:v>
                </c:pt>
                <c:pt idx="284">
                  <c:v>4.8192030961763301E-4</c:v>
                </c:pt>
                <c:pt idx="285">
                  <c:v>4.6989526610185812E-4</c:v>
                </c:pt>
                <c:pt idx="286">
                  <c:v>4.5817027591726905E-4</c:v>
                </c:pt>
                <c:pt idx="287">
                  <c:v>4.467378519832055E-4</c:v>
                </c:pt>
                <c:pt idx="288">
                  <c:v>4.3559069403075411E-4</c:v>
                </c:pt>
                <c:pt idx="289">
                  <c:v>4.2472168403591832E-4</c:v>
                </c:pt>
                <c:pt idx="290">
                  <c:v>4.1412388149672297E-4</c:v>
                </c:pt>
                <c:pt idx="291">
                  <c:v>4.0379051912225002E-4</c:v>
                </c:pt>
                <c:pt idx="292">
                  <c:v>3.9371499852251167E-4</c:v>
                </c:pt>
                <c:pt idx="293">
                  <c:v>3.8389088590293002E-4</c:v>
                </c:pt>
                <c:pt idx="294">
                  <c:v>3.743119080442934E-4</c:v>
                </c:pt>
                <c:pt idx="295">
                  <c:v>3.6497194825109842E-4</c:v>
                </c:pt>
                <c:pt idx="296">
                  <c:v>3.5586504244525442E-4</c:v>
                </c:pt>
                <c:pt idx="297">
                  <c:v>3.4698537537658291E-4</c:v>
                </c:pt>
                <c:pt idx="298">
                  <c:v>3.3832727688176277E-4</c:v>
                </c:pt>
                <c:pt idx="299">
                  <c:v>3.2988521829524205E-4</c:v>
                </c:pt>
                <c:pt idx="300">
                  <c:v>3.2165380892626108E-4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161-4F5B-BF24-3020D2088364}"/>
            </c:ext>
          </c:extLst>
        </c:ser>
        <c:ser>
          <c:idx val="0"/>
          <c:order val="1"/>
          <c:tx>
            <c:v>Set Point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Sheet1!$U$6:$U$306</c:f>
              <c:numCache>
                <c:formatCode>0.00</c:formatCode>
                <c:ptCount val="30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6.0000000000000005E-2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9.9999999999999992E-2</c:v>
                </c:pt>
                <c:pt idx="11">
                  <c:v>0.10999999999999999</c:v>
                </c:pt>
                <c:pt idx="12">
                  <c:v>0.11999999999999998</c:v>
                </c:pt>
                <c:pt idx="13">
                  <c:v>0.12999999999999998</c:v>
                </c:pt>
                <c:pt idx="14">
                  <c:v>0.13999999999999999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0.18000000000000002</c:v>
                </c:pt>
                <c:pt idx="19">
                  <c:v>0.19000000000000003</c:v>
                </c:pt>
                <c:pt idx="20">
                  <c:v>0.20000000000000004</c:v>
                </c:pt>
                <c:pt idx="21">
                  <c:v>0.21000000000000005</c:v>
                </c:pt>
                <c:pt idx="22">
                  <c:v>0.22000000000000006</c:v>
                </c:pt>
                <c:pt idx="23">
                  <c:v>0.23000000000000007</c:v>
                </c:pt>
                <c:pt idx="24">
                  <c:v>0.24000000000000007</c:v>
                </c:pt>
                <c:pt idx="25">
                  <c:v>0.25000000000000006</c:v>
                </c:pt>
                <c:pt idx="26">
                  <c:v>0.26000000000000006</c:v>
                </c:pt>
                <c:pt idx="27">
                  <c:v>0.27000000000000007</c:v>
                </c:pt>
                <c:pt idx="28">
                  <c:v>0.28000000000000008</c:v>
                </c:pt>
                <c:pt idx="29">
                  <c:v>0.29000000000000009</c:v>
                </c:pt>
                <c:pt idx="30">
                  <c:v>0.3000000000000001</c:v>
                </c:pt>
                <c:pt idx="31">
                  <c:v>0.31000000000000011</c:v>
                </c:pt>
                <c:pt idx="32">
                  <c:v>0.32000000000000012</c:v>
                </c:pt>
                <c:pt idx="33">
                  <c:v>0.33000000000000013</c:v>
                </c:pt>
                <c:pt idx="34">
                  <c:v>0.34000000000000014</c:v>
                </c:pt>
                <c:pt idx="35">
                  <c:v>0.35000000000000014</c:v>
                </c:pt>
                <c:pt idx="36">
                  <c:v>0.36000000000000015</c:v>
                </c:pt>
                <c:pt idx="37">
                  <c:v>0.37000000000000016</c:v>
                </c:pt>
                <c:pt idx="38">
                  <c:v>0.38000000000000017</c:v>
                </c:pt>
                <c:pt idx="39">
                  <c:v>0.39000000000000018</c:v>
                </c:pt>
                <c:pt idx="40">
                  <c:v>0.40000000000000019</c:v>
                </c:pt>
                <c:pt idx="41">
                  <c:v>0.4100000000000002</c:v>
                </c:pt>
                <c:pt idx="42">
                  <c:v>0.42000000000000021</c:v>
                </c:pt>
                <c:pt idx="43">
                  <c:v>0.43000000000000022</c:v>
                </c:pt>
                <c:pt idx="44">
                  <c:v>0.44000000000000022</c:v>
                </c:pt>
                <c:pt idx="45">
                  <c:v>0.45000000000000023</c:v>
                </c:pt>
                <c:pt idx="46">
                  <c:v>0.46000000000000024</c:v>
                </c:pt>
                <c:pt idx="47">
                  <c:v>0.47000000000000025</c:v>
                </c:pt>
                <c:pt idx="48">
                  <c:v>0.48000000000000026</c:v>
                </c:pt>
                <c:pt idx="49">
                  <c:v>0.49000000000000027</c:v>
                </c:pt>
                <c:pt idx="50">
                  <c:v>0.50000000000000022</c:v>
                </c:pt>
                <c:pt idx="51">
                  <c:v>0.51000000000000023</c:v>
                </c:pt>
                <c:pt idx="52">
                  <c:v>0.52000000000000024</c:v>
                </c:pt>
                <c:pt idx="53">
                  <c:v>0.53000000000000025</c:v>
                </c:pt>
                <c:pt idx="54">
                  <c:v>0.54000000000000026</c:v>
                </c:pt>
                <c:pt idx="55">
                  <c:v>0.55000000000000027</c:v>
                </c:pt>
                <c:pt idx="56">
                  <c:v>0.56000000000000028</c:v>
                </c:pt>
                <c:pt idx="57">
                  <c:v>0.57000000000000028</c:v>
                </c:pt>
                <c:pt idx="58">
                  <c:v>0.58000000000000029</c:v>
                </c:pt>
                <c:pt idx="59">
                  <c:v>0.5900000000000003</c:v>
                </c:pt>
                <c:pt idx="60">
                  <c:v>0.60000000000000031</c:v>
                </c:pt>
                <c:pt idx="61">
                  <c:v>0.61000000000000032</c:v>
                </c:pt>
                <c:pt idx="62">
                  <c:v>0.62000000000000033</c:v>
                </c:pt>
                <c:pt idx="63">
                  <c:v>0.63000000000000034</c:v>
                </c:pt>
                <c:pt idx="64">
                  <c:v>0.64000000000000035</c:v>
                </c:pt>
                <c:pt idx="65">
                  <c:v>0.65000000000000036</c:v>
                </c:pt>
                <c:pt idx="66">
                  <c:v>0.66000000000000036</c:v>
                </c:pt>
                <c:pt idx="67">
                  <c:v>0.67000000000000037</c:v>
                </c:pt>
                <c:pt idx="68">
                  <c:v>0.68000000000000038</c:v>
                </c:pt>
                <c:pt idx="69">
                  <c:v>0.69000000000000039</c:v>
                </c:pt>
                <c:pt idx="70">
                  <c:v>0.7000000000000004</c:v>
                </c:pt>
                <c:pt idx="71">
                  <c:v>0.71000000000000041</c:v>
                </c:pt>
                <c:pt idx="72">
                  <c:v>0.72000000000000042</c:v>
                </c:pt>
                <c:pt idx="73">
                  <c:v>0.73000000000000043</c:v>
                </c:pt>
                <c:pt idx="74">
                  <c:v>0.74000000000000044</c:v>
                </c:pt>
                <c:pt idx="75">
                  <c:v>0.75000000000000044</c:v>
                </c:pt>
                <c:pt idx="76">
                  <c:v>0.76000000000000045</c:v>
                </c:pt>
                <c:pt idx="77">
                  <c:v>0.77000000000000046</c:v>
                </c:pt>
                <c:pt idx="78">
                  <c:v>0.78000000000000047</c:v>
                </c:pt>
                <c:pt idx="79">
                  <c:v>0.79000000000000048</c:v>
                </c:pt>
                <c:pt idx="80">
                  <c:v>0.80000000000000049</c:v>
                </c:pt>
                <c:pt idx="81">
                  <c:v>0.8100000000000005</c:v>
                </c:pt>
                <c:pt idx="82">
                  <c:v>0.82000000000000051</c:v>
                </c:pt>
                <c:pt idx="83">
                  <c:v>0.83000000000000052</c:v>
                </c:pt>
                <c:pt idx="84">
                  <c:v>0.84000000000000052</c:v>
                </c:pt>
                <c:pt idx="85">
                  <c:v>0.85000000000000053</c:v>
                </c:pt>
                <c:pt idx="86">
                  <c:v>0.86000000000000054</c:v>
                </c:pt>
                <c:pt idx="87">
                  <c:v>0.87000000000000055</c:v>
                </c:pt>
                <c:pt idx="88">
                  <c:v>0.88000000000000056</c:v>
                </c:pt>
                <c:pt idx="89">
                  <c:v>0.89000000000000057</c:v>
                </c:pt>
                <c:pt idx="90">
                  <c:v>0.90000000000000058</c:v>
                </c:pt>
                <c:pt idx="91">
                  <c:v>0.91000000000000059</c:v>
                </c:pt>
                <c:pt idx="92">
                  <c:v>0.9200000000000006</c:v>
                </c:pt>
                <c:pt idx="93">
                  <c:v>0.9300000000000006</c:v>
                </c:pt>
                <c:pt idx="94">
                  <c:v>0.94000000000000061</c:v>
                </c:pt>
                <c:pt idx="95">
                  <c:v>0.95000000000000062</c:v>
                </c:pt>
                <c:pt idx="96">
                  <c:v>0.96000000000000063</c:v>
                </c:pt>
                <c:pt idx="97">
                  <c:v>0.97000000000000064</c:v>
                </c:pt>
                <c:pt idx="98">
                  <c:v>0.98000000000000065</c:v>
                </c:pt>
                <c:pt idx="99">
                  <c:v>0.99000000000000066</c:v>
                </c:pt>
                <c:pt idx="100">
                  <c:v>1.0000000000000007</c:v>
                </c:pt>
                <c:pt idx="101">
                  <c:v>1.0100000000000007</c:v>
                </c:pt>
                <c:pt idx="102">
                  <c:v>1.0200000000000007</c:v>
                </c:pt>
                <c:pt idx="103">
                  <c:v>1.0300000000000007</c:v>
                </c:pt>
                <c:pt idx="104">
                  <c:v>1.0400000000000007</c:v>
                </c:pt>
                <c:pt idx="105">
                  <c:v>1.0500000000000007</c:v>
                </c:pt>
                <c:pt idx="106">
                  <c:v>1.0600000000000007</c:v>
                </c:pt>
                <c:pt idx="107">
                  <c:v>1.0700000000000007</c:v>
                </c:pt>
                <c:pt idx="108">
                  <c:v>1.0800000000000007</c:v>
                </c:pt>
                <c:pt idx="109">
                  <c:v>1.0900000000000007</c:v>
                </c:pt>
                <c:pt idx="110">
                  <c:v>1.1000000000000008</c:v>
                </c:pt>
                <c:pt idx="111">
                  <c:v>1.1100000000000008</c:v>
                </c:pt>
                <c:pt idx="112">
                  <c:v>1.1200000000000008</c:v>
                </c:pt>
                <c:pt idx="113">
                  <c:v>1.1300000000000008</c:v>
                </c:pt>
                <c:pt idx="114">
                  <c:v>1.1400000000000008</c:v>
                </c:pt>
                <c:pt idx="115">
                  <c:v>1.1500000000000008</c:v>
                </c:pt>
                <c:pt idx="116">
                  <c:v>1.1600000000000008</c:v>
                </c:pt>
                <c:pt idx="117">
                  <c:v>1.1700000000000008</c:v>
                </c:pt>
                <c:pt idx="118">
                  <c:v>1.1800000000000008</c:v>
                </c:pt>
                <c:pt idx="119">
                  <c:v>1.1900000000000008</c:v>
                </c:pt>
                <c:pt idx="120">
                  <c:v>1.2000000000000008</c:v>
                </c:pt>
                <c:pt idx="121">
                  <c:v>1.2100000000000009</c:v>
                </c:pt>
                <c:pt idx="122">
                  <c:v>1.2200000000000009</c:v>
                </c:pt>
                <c:pt idx="123">
                  <c:v>1.2300000000000009</c:v>
                </c:pt>
                <c:pt idx="124">
                  <c:v>1.2400000000000009</c:v>
                </c:pt>
                <c:pt idx="125">
                  <c:v>1.2500000000000009</c:v>
                </c:pt>
                <c:pt idx="126">
                  <c:v>1.2600000000000009</c:v>
                </c:pt>
                <c:pt idx="127">
                  <c:v>1.2700000000000009</c:v>
                </c:pt>
                <c:pt idx="128">
                  <c:v>1.2800000000000009</c:v>
                </c:pt>
                <c:pt idx="129">
                  <c:v>1.2900000000000009</c:v>
                </c:pt>
                <c:pt idx="130">
                  <c:v>1.3000000000000009</c:v>
                </c:pt>
                <c:pt idx="131">
                  <c:v>1.3100000000000009</c:v>
                </c:pt>
                <c:pt idx="132">
                  <c:v>1.320000000000001</c:v>
                </c:pt>
                <c:pt idx="133">
                  <c:v>1.330000000000001</c:v>
                </c:pt>
                <c:pt idx="134">
                  <c:v>1.340000000000001</c:v>
                </c:pt>
                <c:pt idx="135">
                  <c:v>1.350000000000001</c:v>
                </c:pt>
                <c:pt idx="136">
                  <c:v>1.360000000000001</c:v>
                </c:pt>
                <c:pt idx="137">
                  <c:v>1.370000000000001</c:v>
                </c:pt>
                <c:pt idx="138">
                  <c:v>1.380000000000001</c:v>
                </c:pt>
                <c:pt idx="139">
                  <c:v>1.390000000000001</c:v>
                </c:pt>
                <c:pt idx="140">
                  <c:v>1.400000000000001</c:v>
                </c:pt>
                <c:pt idx="141">
                  <c:v>1.410000000000001</c:v>
                </c:pt>
                <c:pt idx="142">
                  <c:v>1.420000000000001</c:v>
                </c:pt>
                <c:pt idx="143">
                  <c:v>1.430000000000001</c:v>
                </c:pt>
                <c:pt idx="144">
                  <c:v>1.4400000000000011</c:v>
                </c:pt>
                <c:pt idx="145">
                  <c:v>1.4500000000000011</c:v>
                </c:pt>
                <c:pt idx="146">
                  <c:v>1.4600000000000011</c:v>
                </c:pt>
                <c:pt idx="147">
                  <c:v>1.4700000000000011</c:v>
                </c:pt>
                <c:pt idx="148">
                  <c:v>1.4800000000000011</c:v>
                </c:pt>
                <c:pt idx="149">
                  <c:v>1.4900000000000011</c:v>
                </c:pt>
                <c:pt idx="150">
                  <c:v>1.5000000000000011</c:v>
                </c:pt>
                <c:pt idx="151">
                  <c:v>1.5100000000000011</c:v>
                </c:pt>
                <c:pt idx="152">
                  <c:v>1.5200000000000011</c:v>
                </c:pt>
                <c:pt idx="153">
                  <c:v>1.5300000000000011</c:v>
                </c:pt>
                <c:pt idx="154">
                  <c:v>1.5400000000000011</c:v>
                </c:pt>
                <c:pt idx="155">
                  <c:v>1.5500000000000012</c:v>
                </c:pt>
                <c:pt idx="156">
                  <c:v>1.5600000000000012</c:v>
                </c:pt>
                <c:pt idx="157">
                  <c:v>1.5700000000000012</c:v>
                </c:pt>
                <c:pt idx="158">
                  <c:v>1.5800000000000012</c:v>
                </c:pt>
                <c:pt idx="159">
                  <c:v>1.5900000000000012</c:v>
                </c:pt>
                <c:pt idx="160">
                  <c:v>1.6000000000000012</c:v>
                </c:pt>
                <c:pt idx="161">
                  <c:v>1.6100000000000012</c:v>
                </c:pt>
                <c:pt idx="162">
                  <c:v>1.6200000000000012</c:v>
                </c:pt>
                <c:pt idx="163">
                  <c:v>1.6300000000000012</c:v>
                </c:pt>
                <c:pt idx="164">
                  <c:v>1.6400000000000012</c:v>
                </c:pt>
                <c:pt idx="165">
                  <c:v>1.6500000000000012</c:v>
                </c:pt>
                <c:pt idx="166">
                  <c:v>1.6600000000000013</c:v>
                </c:pt>
                <c:pt idx="167">
                  <c:v>1.6700000000000013</c:v>
                </c:pt>
                <c:pt idx="168">
                  <c:v>1.6800000000000013</c:v>
                </c:pt>
                <c:pt idx="169">
                  <c:v>1.6900000000000013</c:v>
                </c:pt>
                <c:pt idx="170">
                  <c:v>1.7000000000000013</c:v>
                </c:pt>
                <c:pt idx="171">
                  <c:v>1.7100000000000013</c:v>
                </c:pt>
                <c:pt idx="172">
                  <c:v>1.7200000000000013</c:v>
                </c:pt>
                <c:pt idx="173">
                  <c:v>1.7300000000000013</c:v>
                </c:pt>
                <c:pt idx="174">
                  <c:v>1.7400000000000013</c:v>
                </c:pt>
                <c:pt idx="175">
                  <c:v>1.7500000000000013</c:v>
                </c:pt>
                <c:pt idx="176">
                  <c:v>1.7600000000000013</c:v>
                </c:pt>
                <c:pt idx="177">
                  <c:v>1.7700000000000014</c:v>
                </c:pt>
                <c:pt idx="178">
                  <c:v>1.7800000000000014</c:v>
                </c:pt>
                <c:pt idx="179">
                  <c:v>1.7900000000000014</c:v>
                </c:pt>
                <c:pt idx="180">
                  <c:v>1.8000000000000014</c:v>
                </c:pt>
                <c:pt idx="181">
                  <c:v>1.8100000000000014</c:v>
                </c:pt>
                <c:pt idx="182">
                  <c:v>1.8200000000000014</c:v>
                </c:pt>
                <c:pt idx="183">
                  <c:v>1.8300000000000014</c:v>
                </c:pt>
                <c:pt idx="184">
                  <c:v>1.8400000000000014</c:v>
                </c:pt>
                <c:pt idx="185">
                  <c:v>1.8500000000000014</c:v>
                </c:pt>
                <c:pt idx="186">
                  <c:v>1.8600000000000014</c:v>
                </c:pt>
                <c:pt idx="187">
                  <c:v>1.8700000000000014</c:v>
                </c:pt>
                <c:pt idx="188">
                  <c:v>1.8800000000000014</c:v>
                </c:pt>
                <c:pt idx="189">
                  <c:v>1.8900000000000015</c:v>
                </c:pt>
                <c:pt idx="190">
                  <c:v>1.9000000000000015</c:v>
                </c:pt>
                <c:pt idx="191">
                  <c:v>1.9100000000000015</c:v>
                </c:pt>
                <c:pt idx="192">
                  <c:v>1.9200000000000015</c:v>
                </c:pt>
                <c:pt idx="193">
                  <c:v>1.9300000000000015</c:v>
                </c:pt>
                <c:pt idx="194">
                  <c:v>1.9400000000000015</c:v>
                </c:pt>
                <c:pt idx="195">
                  <c:v>1.9500000000000015</c:v>
                </c:pt>
                <c:pt idx="196">
                  <c:v>1.9600000000000015</c:v>
                </c:pt>
                <c:pt idx="197">
                  <c:v>1.9700000000000015</c:v>
                </c:pt>
                <c:pt idx="198">
                  <c:v>1.9800000000000015</c:v>
                </c:pt>
                <c:pt idx="199">
                  <c:v>1.9900000000000015</c:v>
                </c:pt>
                <c:pt idx="200">
                  <c:v>2.0000000000000013</c:v>
                </c:pt>
                <c:pt idx="201">
                  <c:v>2.0100000000000011</c:v>
                </c:pt>
                <c:pt idx="202">
                  <c:v>2.0200000000000009</c:v>
                </c:pt>
                <c:pt idx="203">
                  <c:v>2.0300000000000007</c:v>
                </c:pt>
                <c:pt idx="204">
                  <c:v>2.0400000000000005</c:v>
                </c:pt>
                <c:pt idx="205">
                  <c:v>2.0500000000000003</c:v>
                </c:pt>
                <c:pt idx="206">
                  <c:v>2.06</c:v>
                </c:pt>
                <c:pt idx="207">
                  <c:v>2.0699999999999998</c:v>
                </c:pt>
                <c:pt idx="208">
                  <c:v>2.0799999999999996</c:v>
                </c:pt>
                <c:pt idx="209">
                  <c:v>2.0899999999999994</c:v>
                </c:pt>
                <c:pt idx="210">
                  <c:v>2.0999999999999992</c:v>
                </c:pt>
                <c:pt idx="211">
                  <c:v>2.109999999999999</c:v>
                </c:pt>
                <c:pt idx="212">
                  <c:v>2.1199999999999988</c:v>
                </c:pt>
                <c:pt idx="213">
                  <c:v>2.1299999999999986</c:v>
                </c:pt>
                <c:pt idx="214">
                  <c:v>2.1399999999999983</c:v>
                </c:pt>
                <c:pt idx="215">
                  <c:v>2.1499999999999981</c:v>
                </c:pt>
                <c:pt idx="216">
                  <c:v>2.1599999999999979</c:v>
                </c:pt>
                <c:pt idx="217">
                  <c:v>2.1699999999999977</c:v>
                </c:pt>
                <c:pt idx="218">
                  <c:v>2.1799999999999975</c:v>
                </c:pt>
                <c:pt idx="219">
                  <c:v>2.1899999999999973</c:v>
                </c:pt>
                <c:pt idx="220">
                  <c:v>2.1999999999999971</c:v>
                </c:pt>
                <c:pt idx="221">
                  <c:v>2.2099999999999969</c:v>
                </c:pt>
                <c:pt idx="222">
                  <c:v>2.2199999999999966</c:v>
                </c:pt>
                <c:pt idx="223">
                  <c:v>2.2299999999999964</c:v>
                </c:pt>
                <c:pt idx="224">
                  <c:v>2.2399999999999962</c:v>
                </c:pt>
                <c:pt idx="225">
                  <c:v>2.249999999999996</c:v>
                </c:pt>
                <c:pt idx="226">
                  <c:v>2.2599999999999958</c:v>
                </c:pt>
                <c:pt idx="227">
                  <c:v>2.2699999999999956</c:v>
                </c:pt>
                <c:pt idx="228">
                  <c:v>2.2799999999999954</c:v>
                </c:pt>
                <c:pt idx="229">
                  <c:v>2.2899999999999952</c:v>
                </c:pt>
                <c:pt idx="230">
                  <c:v>2.2999999999999949</c:v>
                </c:pt>
                <c:pt idx="231">
                  <c:v>2.3099999999999947</c:v>
                </c:pt>
                <c:pt idx="232">
                  <c:v>2.3199999999999945</c:v>
                </c:pt>
                <c:pt idx="233">
                  <c:v>2.3299999999999943</c:v>
                </c:pt>
                <c:pt idx="234">
                  <c:v>2.3399999999999941</c:v>
                </c:pt>
                <c:pt idx="235">
                  <c:v>2.3499999999999939</c:v>
                </c:pt>
                <c:pt idx="236">
                  <c:v>2.3599999999999937</c:v>
                </c:pt>
                <c:pt idx="237">
                  <c:v>2.3699999999999934</c:v>
                </c:pt>
                <c:pt idx="238">
                  <c:v>2.3799999999999932</c:v>
                </c:pt>
                <c:pt idx="239">
                  <c:v>2.389999999999993</c:v>
                </c:pt>
                <c:pt idx="240">
                  <c:v>2.3999999999999928</c:v>
                </c:pt>
                <c:pt idx="241">
                  <c:v>2.4099999999999926</c:v>
                </c:pt>
                <c:pt idx="242">
                  <c:v>2.4199999999999924</c:v>
                </c:pt>
                <c:pt idx="243">
                  <c:v>2.4299999999999922</c:v>
                </c:pt>
                <c:pt idx="244">
                  <c:v>2.439999999999992</c:v>
                </c:pt>
                <c:pt idx="245">
                  <c:v>2.4499999999999917</c:v>
                </c:pt>
                <c:pt idx="246">
                  <c:v>2.4599999999999915</c:v>
                </c:pt>
                <c:pt idx="247">
                  <c:v>2.4699999999999913</c:v>
                </c:pt>
                <c:pt idx="248">
                  <c:v>2.4799999999999911</c:v>
                </c:pt>
                <c:pt idx="249">
                  <c:v>2.4899999999999909</c:v>
                </c:pt>
                <c:pt idx="250">
                  <c:v>2.4999999999999907</c:v>
                </c:pt>
                <c:pt idx="251">
                  <c:v>2.5099999999999905</c:v>
                </c:pt>
                <c:pt idx="252">
                  <c:v>2.5199999999999902</c:v>
                </c:pt>
                <c:pt idx="253">
                  <c:v>2.52999999999999</c:v>
                </c:pt>
                <c:pt idx="254">
                  <c:v>2.5399999999999898</c:v>
                </c:pt>
                <c:pt idx="255">
                  <c:v>2.5499999999999896</c:v>
                </c:pt>
                <c:pt idx="256">
                  <c:v>2.5599999999999894</c:v>
                </c:pt>
                <c:pt idx="257">
                  <c:v>2.5699999999999892</c:v>
                </c:pt>
                <c:pt idx="258">
                  <c:v>2.579999999999989</c:v>
                </c:pt>
                <c:pt idx="259">
                  <c:v>2.5899999999999888</c:v>
                </c:pt>
                <c:pt idx="260">
                  <c:v>2.5999999999999885</c:v>
                </c:pt>
                <c:pt idx="261">
                  <c:v>2.6099999999999883</c:v>
                </c:pt>
                <c:pt idx="262">
                  <c:v>2.6199999999999881</c:v>
                </c:pt>
                <c:pt idx="263">
                  <c:v>2.6299999999999879</c:v>
                </c:pt>
                <c:pt idx="264">
                  <c:v>2.6399999999999877</c:v>
                </c:pt>
                <c:pt idx="265">
                  <c:v>2.6499999999999875</c:v>
                </c:pt>
                <c:pt idx="266">
                  <c:v>2.6599999999999873</c:v>
                </c:pt>
                <c:pt idx="267">
                  <c:v>2.6699999999999871</c:v>
                </c:pt>
                <c:pt idx="268">
                  <c:v>2.6799999999999868</c:v>
                </c:pt>
                <c:pt idx="269">
                  <c:v>2.6899999999999866</c:v>
                </c:pt>
                <c:pt idx="270">
                  <c:v>2.6999999999999864</c:v>
                </c:pt>
                <c:pt idx="271">
                  <c:v>2.7099999999999862</c:v>
                </c:pt>
                <c:pt idx="272">
                  <c:v>2.719999999999986</c:v>
                </c:pt>
                <c:pt idx="273">
                  <c:v>2.7299999999999858</c:v>
                </c:pt>
                <c:pt idx="274">
                  <c:v>2.7399999999999856</c:v>
                </c:pt>
                <c:pt idx="275">
                  <c:v>2.7499999999999853</c:v>
                </c:pt>
                <c:pt idx="276">
                  <c:v>2.7599999999999851</c:v>
                </c:pt>
                <c:pt idx="277">
                  <c:v>2.7699999999999849</c:v>
                </c:pt>
                <c:pt idx="278">
                  <c:v>2.7799999999999847</c:v>
                </c:pt>
                <c:pt idx="279">
                  <c:v>2.7899999999999845</c:v>
                </c:pt>
                <c:pt idx="280">
                  <c:v>2.7999999999999843</c:v>
                </c:pt>
                <c:pt idx="281">
                  <c:v>2.8099999999999841</c:v>
                </c:pt>
                <c:pt idx="282">
                  <c:v>2.8199999999999839</c:v>
                </c:pt>
                <c:pt idx="283">
                  <c:v>2.8299999999999836</c:v>
                </c:pt>
                <c:pt idx="284">
                  <c:v>2.8399999999999834</c:v>
                </c:pt>
                <c:pt idx="285">
                  <c:v>2.8499999999999832</c:v>
                </c:pt>
                <c:pt idx="286">
                  <c:v>2.859999999999983</c:v>
                </c:pt>
                <c:pt idx="287">
                  <c:v>2.8699999999999828</c:v>
                </c:pt>
                <c:pt idx="288">
                  <c:v>2.8799999999999826</c:v>
                </c:pt>
                <c:pt idx="289">
                  <c:v>2.8899999999999824</c:v>
                </c:pt>
                <c:pt idx="290">
                  <c:v>2.8999999999999821</c:v>
                </c:pt>
                <c:pt idx="291">
                  <c:v>2.9099999999999819</c:v>
                </c:pt>
                <c:pt idx="292">
                  <c:v>2.9199999999999817</c:v>
                </c:pt>
                <c:pt idx="293">
                  <c:v>2.9299999999999815</c:v>
                </c:pt>
                <c:pt idx="294">
                  <c:v>2.9399999999999813</c:v>
                </c:pt>
                <c:pt idx="295">
                  <c:v>2.9499999999999811</c:v>
                </c:pt>
                <c:pt idx="296">
                  <c:v>2.9599999999999809</c:v>
                </c:pt>
                <c:pt idx="297">
                  <c:v>2.9699999999999807</c:v>
                </c:pt>
                <c:pt idx="298">
                  <c:v>2.9799999999999804</c:v>
                </c:pt>
                <c:pt idx="299">
                  <c:v>2.9899999999999802</c:v>
                </c:pt>
                <c:pt idx="300">
                  <c:v>2.99999999999998</c:v>
                </c:pt>
              </c:numCache>
            </c:numRef>
          </c:xVal>
          <c:yVal>
            <c:numRef>
              <c:f>Sheet1!$AA$6:$AA$306</c:f>
              <c:numCache>
                <c:formatCode>General</c:formatCode>
                <c:ptCount val="301"/>
                <c:pt idx="0">
                  <c:v>60</c:v>
                </c:pt>
                <c:pt idx="1">
                  <c:v>60</c:v>
                </c:pt>
                <c:pt idx="2">
                  <c:v>57.540884455760455</c:v>
                </c:pt>
                <c:pt idx="3">
                  <c:v>54.660575654641846</c:v>
                </c:pt>
                <c:pt idx="4">
                  <c:v>51.368453585414407</c:v>
                </c:pt>
                <c:pt idx="5">
                  <c:v>47.673689344165531</c:v>
                </c:pt>
                <c:pt idx="6">
                  <c:v>43.585249786347589</c:v>
                </c:pt>
                <c:pt idx="7">
                  <c:v>39.111902075223909</c:v>
                </c:pt>
                <c:pt idx="8">
                  <c:v>34.262218129021065</c:v>
                </c:pt>
                <c:pt idx="9">
                  <c:v>29.406898443604753</c:v>
                </c:pt>
                <c:pt idx="10">
                  <c:v>25.918705103449245</c:v>
                </c:pt>
                <c:pt idx="11">
                  <c:v>23.217094973369022</c:v>
                </c:pt>
                <c:pt idx="12">
                  <c:v>20.863944793576081</c:v>
                </c:pt>
                <c:pt idx="13">
                  <c:v>18.824785792053859</c:v>
                </c:pt>
                <c:pt idx="14">
                  <c:v>17.063252144432028</c:v>
                </c:pt>
                <c:pt idx="15">
                  <c:v>15.511716909185916</c:v>
                </c:pt>
                <c:pt idx="16">
                  <c:v>14.128665010040226</c:v>
                </c:pt>
                <c:pt idx="17">
                  <c:v>12.890528465519372</c:v>
                </c:pt>
                <c:pt idx="18">
                  <c:v>11.777664410179746</c:v>
                </c:pt>
                <c:pt idx="19">
                  <c:v>10.773670579112839</c:v>
                </c:pt>
                <c:pt idx="20">
                  <c:v>9.8657121992956753</c:v>
                </c:pt>
                <c:pt idx="21">
                  <c:v>9.0432741415642042</c:v>
                </c:pt>
                <c:pt idx="22">
                  <c:v>8.2973463205882663</c:v>
                </c:pt>
                <c:pt idx="23">
                  <c:v>7.6201299508722249</c:v>
                </c:pt>
                <c:pt idx="24">
                  <c:v>7.0048138069550703</c:v>
                </c:pt>
                <c:pt idx="25">
                  <c:v>6.4453770189897686</c:v>
                </c:pt>
                <c:pt idx="26">
                  <c:v>5.9364549877220192</c:v>
                </c:pt>
                <c:pt idx="27">
                  <c:v>5.4732457484552448</c:v>
                </c:pt>
                <c:pt idx="28">
                  <c:v>5.0514356755395387</c:v>
                </c:pt>
                <c:pt idx="29">
                  <c:v>4.6671393593199273</c:v>
                </c:pt>
                <c:pt idx="30">
                  <c:v>4.3168507301983894</c:v>
                </c:pt>
                <c:pt idx="31">
                  <c:v>3.9974020850686962</c:v>
                </c:pt>
                <c:pt idx="32">
                  <c:v>3.7059288702976279</c:v>
                </c:pt>
                <c:pt idx="33">
                  <c:v>3.439839016219759</c:v>
                </c:pt>
                <c:pt idx="34">
                  <c:v>3.1967859570358907</c:v>
                </c:pt>
                <c:pt idx="35">
                  <c:v>2.9746446817135954</c:v>
                </c:pt>
                <c:pt idx="36">
                  <c:v>2.7714903449068462</c:v>
                </c:pt>
                <c:pt idx="37">
                  <c:v>2.5855790857336967</c:v>
                </c:pt>
                <c:pt idx="38">
                  <c:v>2.4153307753658648</c:v>
                </c:pt>
                <c:pt idx="39">
                  <c:v>2.2593134664967547</c:v>
                </c:pt>
                <c:pt idx="40">
                  <c:v>2.1162293563165164</c:v>
                </c:pt>
                <c:pt idx="41">
                  <c:v>1.9849021028886362</c:v>
                </c:pt>
                <c:pt idx="42">
                  <c:v>1.8642653563378424</c:v>
                </c:pt>
                <c:pt idx="43">
                  <c:v>1.7533523833936719</c:v>
                </c:pt>
                <c:pt idx="44">
                  <c:v>1.6512866778545998</c:v>
                </c:pt>
                <c:pt idx="45">
                  <c:v>1.557273461265595</c:v>
                </c:pt>
                <c:pt idx="46">
                  <c:v>1.4705919881266727</c:v>
                </c:pt>
                <c:pt idx="47">
                  <c:v>1.3905885786581766</c:v>
                </c:pt>
                <c:pt idx="48">
                  <c:v>1.3166703098027668</c:v>
                </c:pt>
                <c:pt idx="49">
                  <c:v>1.2482993019318567</c:v>
                </c:pt>
                <c:pt idx="50">
                  <c:v>1.1849875447770266</c:v>
                </c:pt>
                <c:pt idx="51">
                  <c:v>1.1262922115347926</c:v>
                </c:pt>
                <c:pt idx="52">
                  <c:v>1.0718114149715472</c:v>
                </c:pt>
                <c:pt idx="53">
                  <c:v>1.0211803637505117</c:v>
                </c:pt>
                <c:pt idx="54">
                  <c:v>0.9740678811706811</c:v>
                </c:pt>
                <c:pt idx="55">
                  <c:v>0.93017325209132196</c:v>
                </c:pt>
                <c:pt idx="56">
                  <c:v>0.88922336705519989</c:v>
                </c:pt>
                <c:pt idx="57">
                  <c:v>0.85097013555484757</c:v>
                </c:pt>
                <c:pt idx="58">
                  <c:v>0.81518814303826481</c:v>
                </c:pt>
                <c:pt idx="59">
                  <c:v>0.78167252865062586</c:v>
                </c:pt>
                <c:pt idx="60">
                  <c:v>0.75023706288174274</c:v>
                </c:pt>
                <c:pt idx="61">
                  <c:v>0.72071240625541577</c:v>
                </c:pt>
                <c:pt idx="62">
                  <c:v>0.69294453197874262</c:v>
                </c:pt>
                <c:pt idx="63">
                  <c:v>0.66679329708266977</c:v>
                </c:pt>
                <c:pt idx="64">
                  <c:v>0.64213114804386073</c:v>
                </c:pt>
                <c:pt idx="65">
                  <c:v>0.61884194820214233</c:v>
                </c:pt>
                <c:pt idx="66">
                  <c:v>0.5968199154843461</c:v>
                </c:pt>
                <c:pt idx="67">
                  <c:v>0.57596866003072122</c:v>
                </c:pt>
                <c:pt idx="68">
                  <c:v>0.55620031230073153</c:v>
                </c:pt>
                <c:pt idx="69">
                  <c:v>0.53743473312603207</c:v>
                </c:pt>
                <c:pt idx="70">
                  <c:v>0.51959879798261888</c:v>
                </c:pt>
                <c:pt idx="71">
                  <c:v>0.50262574848443187</c:v>
                </c:pt>
                <c:pt idx="72">
                  <c:v>0.48645460476041791</c:v>
                </c:pt>
                <c:pt idx="73">
                  <c:v>0.47102963297496814</c:v>
                </c:pt>
                <c:pt idx="74">
                  <c:v>0.45629986279501011</c:v>
                </c:pt>
                <c:pt idx="75">
                  <c:v>0.44221865009546768</c:v>
                </c:pt>
                <c:pt idx="76">
                  <c:v>0.42874328064006129</c:v>
                </c:pt>
                <c:pt idx="77">
                  <c:v>0.41583461087725837</c:v>
                </c:pt>
                <c:pt idx="78">
                  <c:v>0.4034567423537343</c:v>
                </c:pt>
                <c:pt idx="79">
                  <c:v>0.39157672658008202</c:v>
                </c:pt>
                <c:pt idx="80">
                  <c:v>0.38016429747966818</c:v>
                </c:pt>
                <c:pt idx="81">
                  <c:v>0.36919162882439238</c:v>
                </c:pt>
                <c:pt idx="82">
                  <c:v>0.35863311430458644</c:v>
                </c:pt>
                <c:pt idx="83">
                  <c:v>0.34846516810305062</c:v>
                </c:pt>
                <c:pt idx="84">
                  <c:v>0.33866604404339817</c:v>
                </c:pt>
                <c:pt idx="85">
                  <c:v>0.32921567156628662</c:v>
                </c:pt>
                <c:pt idx="86">
                  <c:v>0.32009550695016387</c:v>
                </c:pt>
                <c:pt idx="87">
                  <c:v>0.31128839834324573</c:v>
                </c:pt>
                <c:pt idx="88">
                  <c:v>0.30277846330949387</c:v>
                </c:pt>
                <c:pt idx="89">
                  <c:v>0.29455097771187511</c:v>
                </c:pt>
                <c:pt idx="90">
                  <c:v>0.28659227486849481</c:v>
                </c:pt>
                <c:pt idx="91">
                  <c:v>0.27888965401750276</c:v>
                </c:pt>
                <c:pt idx="92">
                  <c:v>0.27143129721659065</c:v>
                </c:pt>
                <c:pt idx="93">
                  <c:v>0.26420619388621702</c:v>
                </c:pt>
                <c:pt idx="94">
                  <c:v>0.25720407227995068</c:v>
                </c:pt>
                <c:pt idx="95">
                  <c:v>0.2504153372331448</c:v>
                </c:pt>
                <c:pt idx="96">
                  <c:v>0.24383101360105108</c:v>
                </c:pt>
                <c:pt idx="97">
                  <c:v>0.23744269485499991</c:v>
                </c:pt>
                <c:pt idx="98">
                  <c:v>0.23124249635364258</c:v>
                </c:pt>
                <c:pt idx="99">
                  <c:v>0.22522301285225588</c:v>
                </c:pt>
                <c:pt idx="100">
                  <c:v>0.21937727985440958</c:v>
                </c:pt>
                <c:pt idx="101">
                  <c:v>0.21369873844774112</c:v>
                </c:pt>
                <c:pt idx="102">
                  <c:v>0.20818120329867185</c:v>
                </c:pt>
                <c:pt idx="103">
                  <c:v>0.20281883351187702</c:v>
                </c:pt>
                <c:pt idx="104">
                  <c:v>0.19760610608786067</c:v>
                </c:pt>
                <c:pt idx="105">
                  <c:v>0.19253779173786789</c:v>
                </c:pt>
                <c:pt idx="106">
                  <c:v>0.18760893283618785</c:v>
                </c:pt>
                <c:pt idx="107">
                  <c:v>0.18281482331237164</c:v>
                </c:pt>
                <c:pt idx="108">
                  <c:v>0.17815099030372572</c:v>
                </c:pt>
                <c:pt idx="109">
                  <c:v>0.17361317740536286</c:v>
                </c:pt>
                <c:pt idx="110">
                  <c:v>0.16919732936974974</c:v>
                </c:pt>
                <c:pt idx="111">
                  <c:v>0.16489957812310507</c:v>
                </c:pt>
                <c:pt idx="112">
                  <c:v>0.16071622997688806</c:v>
                </c:pt>
                <c:pt idx="113">
                  <c:v>0.15664375392469232</c:v>
                </c:pt>
                <c:pt idx="114">
                  <c:v>0.15267877092562365</c:v>
                </c:pt>
                <c:pt idx="115">
                  <c:v>0.14881804408315524</c:v>
                </c:pt>
                <c:pt idx="116">
                  <c:v>0.14505846963855085</c:v>
                </c:pt>
                <c:pt idx="117">
                  <c:v>0.14139706870453672</c:v>
                </c:pt>
                <c:pt idx="118">
                  <c:v>0.13783097967199964</c:v>
                </c:pt>
                <c:pt idx="119">
                  <c:v>0.13435745122852438</c:v>
                </c:pt>
                <c:pt idx="120">
                  <c:v>0.13097383593457401</c:v>
                </c:pt>
                <c:pt idx="121">
                  <c:v>0.12767758430624454</c:v>
                </c:pt>
                <c:pt idx="122">
                  <c:v>0.12446623935951884</c:v>
                </c:pt>
                <c:pt idx="123">
                  <c:v>0.12133743157544785</c:v>
                </c:pt>
                <c:pt idx="124">
                  <c:v>0.11828887424780277</c:v>
                </c:pt>
                <c:pt idx="125">
                  <c:v>0.11531835918059308</c:v>
                </c:pt>
                <c:pt idx="126">
                  <c:v>0.11242375270355787</c:v>
                </c:pt>
                <c:pt idx="127">
                  <c:v>0.10960299197858347</c:v>
                </c:pt>
                <c:pt idx="128">
                  <c:v>0.1068540815714023</c:v>
                </c:pt>
                <c:pt idx="129">
                  <c:v>0.10417509026552096</c:v>
                </c:pt>
                <c:pt idx="130">
                  <c:v>0.1015641480978875</c:v>
                </c:pt>
                <c:pt idx="131">
                  <c:v>9.9019443596914059E-2</c:v>
                </c:pt>
                <c:pt idx="132">
                  <c:v>9.6539221205928172E-2</c:v>
                </c:pt>
                <c:pt idx="133">
                  <c:v>9.4121778876321116E-2</c:v>
                </c:pt>
                <c:pt idx="134">
                  <c:v>9.1765465816475711E-2</c:v>
                </c:pt>
                <c:pt idx="135">
                  <c:v>8.946868038314193E-2</c:v>
                </c:pt>
                <c:pt idx="136">
                  <c:v>8.7229868103783303E-2</c:v>
                </c:pt>
                <c:pt idx="137">
                  <c:v>8.5047519819216433E-2</c:v>
                </c:pt>
                <c:pt idx="138">
                  <c:v>8.2920169936905097E-2</c:v>
                </c:pt>
                <c:pt idx="139">
                  <c:v>8.0846394785874409E-2</c:v>
                </c:pt>
                <c:pt idx="140">
                  <c:v>7.8824811065427269E-2</c:v>
                </c:pt>
                <c:pt idx="141">
                  <c:v>7.6854074380293014E-2</c:v>
                </c:pt>
                <c:pt idx="142">
                  <c:v>7.4932877855479418E-2</c:v>
                </c:pt>
                <c:pt idx="143">
                  <c:v>7.3059950824788444E-2</c:v>
                </c:pt>
                <c:pt idx="144">
                  <c:v>7.1234057587394872E-2</c:v>
                </c:pt>
                <c:pt idx="145">
                  <c:v>6.9453996227979431E-2</c:v>
                </c:pt>
                <c:pt idx="146">
                  <c:v>6.7718597494719646E-2</c:v>
                </c:pt>
                <c:pt idx="147">
                  <c:v>6.6026723732077741E-2</c:v>
                </c:pt>
                <c:pt idx="148">
                  <c:v>6.4377267863685361E-2</c:v>
                </c:pt>
                <c:pt idx="149">
                  <c:v>6.2769152422504249E-2</c:v>
                </c:pt>
                <c:pt idx="150">
                  <c:v>6.1201328624624907E-2</c:v>
                </c:pt>
                <c:pt idx="151">
                  <c:v>5.9672775483601725E-2</c:v>
                </c:pt>
                <c:pt idx="152">
                  <c:v>5.8182498963441631E-2</c:v>
                </c:pt>
                <c:pt idx="153">
                  <c:v>5.6729531166647362E-2</c:v>
                </c:pt>
                <c:pt idx="154">
                  <c:v>5.5312929556178503E-2</c:v>
                </c:pt>
                <c:pt idx="155">
                  <c:v>5.3931776208312243E-2</c:v>
                </c:pt>
                <c:pt idx="156">
                  <c:v>5.2585177095265223E-2</c:v>
                </c:pt>
                <c:pt idx="157">
                  <c:v>5.1272261395299168E-2</c:v>
                </c:pt>
                <c:pt idx="158">
                  <c:v>4.9992180828732913E-2</c:v>
                </c:pt>
                <c:pt idx="159">
                  <c:v>4.8744109018979742E-2</c:v>
                </c:pt>
                <c:pt idx="160">
                  <c:v>4.7527240876197752E-2</c:v>
                </c:pt>
                <c:pt idx="161">
                  <c:v>4.6340792003377373E-2</c:v>
                </c:pt>
                <c:pt idx="162">
                  <c:v>4.5183998122958258E-2</c:v>
                </c:pt>
                <c:pt idx="163">
                  <c:v>4.4056114523058909E-2</c:v>
                </c:pt>
                <c:pt idx="164">
                  <c:v>4.2956415522704461E-2</c:v>
                </c:pt>
                <c:pt idx="165">
                  <c:v>4.1884193954329518E-2</c:v>
                </c:pt>
                <c:pt idx="166">
                  <c:v>4.0838760663882923E-2</c:v>
                </c:pt>
                <c:pt idx="167">
                  <c:v>3.9819444026250039E-2</c:v>
                </c:pt>
                <c:pt idx="168">
                  <c:v>3.882558947657877E-2</c:v>
                </c:pt>
                <c:pt idx="169">
                  <c:v>3.7856559056056227E-2</c:v>
                </c:pt>
                <c:pt idx="170">
                  <c:v>3.6911730971974421E-2</c:v>
                </c:pt>
                <c:pt idx="171">
                  <c:v>3.5990499170617696E-2</c:v>
                </c:pt>
                <c:pt idx="172">
                  <c:v>3.5092272923710865E-2</c:v>
                </c:pt>
                <c:pt idx="173">
                  <c:v>3.4216476426644604E-2</c:v>
                </c:pt>
                <c:pt idx="174">
                  <c:v>3.3362548409014536E-2</c:v>
                </c:pt>
                <c:pt idx="175">
                  <c:v>3.2529941755864655E-2</c:v>
                </c:pt>
                <c:pt idx="176">
                  <c:v>3.1718123140587196E-2</c:v>
                </c:pt>
                <c:pt idx="177">
                  <c:v>3.0926572667908658E-2</c:v>
                </c:pt>
                <c:pt idx="178">
                  <c:v>3.015478352705081E-2</c:v>
                </c:pt>
                <c:pt idx="179">
                  <c:v>2.9402261654533746E-2</c:v>
                </c:pt>
                <c:pt idx="180">
                  <c:v>2.866852540680398E-2</c:v>
                </c:pt>
                <c:pt idx="181">
                  <c:v>2.795310524152228E-2</c:v>
                </c:pt>
                <c:pt idx="182">
                  <c:v>2.7255543407738614E-2</c:v>
                </c:pt>
                <c:pt idx="183">
                  <c:v>2.657539364461492E-2</c:v>
                </c:pt>
                <c:pt idx="184">
                  <c:v>2.5912220888312021E-2</c:v>
                </c:pt>
                <c:pt idx="185">
                  <c:v>2.5265600986767112E-2</c:v>
                </c:pt>
                <c:pt idx="186">
                  <c:v>2.4635120421999446E-2</c:v>
                </c:pt>
                <c:pt idx="187">
                  <c:v>2.4020376040187585E-2</c:v>
                </c:pt>
                <c:pt idx="188">
                  <c:v>2.3420974788557203E-2</c:v>
                </c:pt>
                <c:pt idx="189">
                  <c:v>2.2836533459686947E-2</c:v>
                </c:pt>
                <c:pt idx="190">
                  <c:v>2.2266678441939192E-2</c:v>
                </c:pt>
                <c:pt idx="191">
                  <c:v>2.171104547704239E-2</c:v>
                </c:pt>
                <c:pt idx="192">
                  <c:v>2.1169279423705945E-2</c:v>
                </c:pt>
                <c:pt idx="193">
                  <c:v>2.064103402760864E-2</c:v>
                </c:pt>
                <c:pt idx="194">
                  <c:v>2.0125971697128264E-2</c:v>
                </c:pt>
                <c:pt idx="195">
                  <c:v>1.9623763285030904E-2</c:v>
                </c:pt>
                <c:pt idx="196">
                  <c:v>1.9134087875883665E-2</c:v>
                </c:pt>
                <c:pt idx="197">
                  <c:v>1.8656632578888832E-2</c:v>
                </c:pt>
                <c:pt idx="198">
                  <c:v>1.8191092325926306E-2</c:v>
                </c:pt>
                <c:pt idx="199">
                  <c:v>1.7737169675086761E-2</c:v>
                </c:pt>
                <c:pt idx="200">
                  <c:v>1.7294574618807346E-2</c:v>
                </c:pt>
                <c:pt idx="201">
                  <c:v>1.6863024397444804E-2</c:v>
                </c:pt>
                <c:pt idx="202">
                  <c:v>1.6442243317186467E-2</c:v>
                </c:pt>
                <c:pt idx="203">
                  <c:v>1.6031962572814251E-2</c:v>
                </c:pt>
                <c:pt idx="204">
                  <c:v>1.5631920074884675E-2</c:v>
                </c:pt>
                <c:pt idx="205">
                  <c:v>1.5241860281484776E-2</c:v>
                </c:pt>
                <c:pt idx="206">
                  <c:v>1.4861534033906665E-2</c:v>
                </c:pt>
                <c:pt idx="207">
                  <c:v>1.4490698396908641E-2</c:v>
                </c:pt>
                <c:pt idx="208">
                  <c:v>1.4129116502804351E-2</c:v>
                </c:pt>
                <c:pt idx="209">
                  <c:v>1.3776557399364009E-2</c:v>
                </c:pt>
                <c:pt idx="210">
                  <c:v>1.3432795901984207E-2</c:v>
                </c:pt>
                <c:pt idx="211">
                  <c:v>1.3097612449048057E-2</c:v>
                </c:pt>
                <c:pt idx="212">
                  <c:v>1.2770792961452671E-2</c:v>
                </c:pt>
                <c:pt idx="213">
                  <c:v>1.2452128705367826E-2</c:v>
                </c:pt>
                <c:pt idx="214">
                  <c:v>1.2141416158375051E-2</c:v>
                </c:pt>
                <c:pt idx="215">
                  <c:v>1.1838456879365467E-2</c:v>
                </c:pt>
                <c:pt idx="216">
                  <c:v>1.1543057381404154E-2</c:v>
                </c:pt>
                <c:pt idx="217">
                  <c:v>1.1255029007775974E-2</c:v>
                </c:pt>
                <c:pt idx="218">
                  <c:v>1.0974187811392255E-2</c:v>
                </c:pt>
                <c:pt idx="219">
                  <c:v>1.0700354436965043E-2</c:v>
                </c:pt>
                <c:pt idx="220">
                  <c:v>1.0433354006240236E-2</c:v>
                </c:pt>
                <c:pt idx="221">
                  <c:v>1.0173016006115532E-2</c:v>
                </c:pt>
                <c:pt idx="222">
                  <c:v>9.9191741797781674E-3</c:v>
                </c:pt>
                <c:pt idx="223">
                  <c:v>9.6716664201039748E-3</c:v>
                </c:pt>
                <c:pt idx="224">
                  <c:v>9.4303346660176146E-3</c:v>
                </c:pt>
                <c:pt idx="225">
                  <c:v>9.1950248016381408E-3</c:v>
                </c:pt>
                <c:pt idx="226">
                  <c:v>8.9655865575064553E-3</c:v>
                </c:pt>
                <c:pt idx="227">
                  <c:v>8.7418734146051946E-3</c:v>
                </c:pt>
                <c:pt idx="228">
                  <c:v>8.5237425107305143E-3</c:v>
                </c:pt>
                <c:pt idx="229">
                  <c:v>8.3110545490754362E-3</c:v>
                </c:pt>
                <c:pt idx="230">
                  <c:v>8.1036737094244415E-3</c:v>
                </c:pt>
                <c:pt idx="231">
                  <c:v>7.9014675609681007E-3</c:v>
                </c:pt>
                <c:pt idx="232">
                  <c:v>7.7043069779776374E-3</c:v>
                </c:pt>
                <c:pt idx="233">
                  <c:v>7.5120660572132181E-3</c:v>
                </c:pt>
                <c:pt idx="234">
                  <c:v>7.3246220374123538E-3</c:v>
                </c:pt>
                <c:pt idx="235">
                  <c:v>7.1418552209703279E-3</c:v>
                </c:pt>
                <c:pt idx="236">
                  <c:v>6.9636488971855925E-3</c:v>
                </c:pt>
                <c:pt idx="237">
                  <c:v>6.7898892680329226E-3</c:v>
                </c:pt>
                <c:pt idx="238">
                  <c:v>6.6204653753274556E-3</c:v>
                </c:pt>
                <c:pt idx="239">
                  <c:v>6.4552690297254856E-3</c:v>
                </c:pt>
                <c:pt idx="240">
                  <c:v>6.2941947417396449E-3</c:v>
                </c:pt>
                <c:pt idx="241">
                  <c:v>6.1371396543279388E-3</c:v>
                </c:pt>
                <c:pt idx="242">
                  <c:v>5.984003477136568E-3</c:v>
                </c:pt>
                <c:pt idx="243">
                  <c:v>5.8346884223983153E-3</c:v>
                </c:pt>
                <c:pt idx="244">
                  <c:v>5.6890991427192006E-3</c:v>
                </c:pt>
                <c:pt idx="245">
                  <c:v>5.5471426698279203E-3</c:v>
                </c:pt>
                <c:pt idx="246">
                  <c:v>5.4087283554942189E-3</c:v>
                </c:pt>
                <c:pt idx="247">
                  <c:v>5.2737678133354393E-3</c:v>
                </c:pt>
                <c:pt idx="248">
                  <c:v>5.1421748626623298E-3</c:v>
                </c:pt>
                <c:pt idx="249">
                  <c:v>5.0138654732378996E-3</c:v>
                </c:pt>
                <c:pt idx="250">
                  <c:v>4.8887577116811798E-3</c:v>
                </c:pt>
                <c:pt idx="251">
                  <c:v>4.7667716890966716E-3</c:v>
                </c:pt>
                <c:pt idx="252">
                  <c:v>4.6478295100857991E-3</c:v>
                </c:pt>
                <c:pt idx="253">
                  <c:v>4.5318552230089182E-3</c:v>
                </c:pt>
                <c:pt idx="254">
                  <c:v>4.4187747714552472E-3</c:v>
                </c:pt>
                <c:pt idx="255">
                  <c:v>4.3085159468780887E-3</c:v>
                </c:pt>
                <c:pt idx="256">
                  <c:v>4.2010083426280431E-3</c:v>
                </c:pt>
                <c:pt idx="257">
                  <c:v>4.0961833088992705E-3</c:v>
                </c:pt>
                <c:pt idx="258">
                  <c:v>3.9939739089440707E-3</c:v>
                </c:pt>
                <c:pt idx="259">
                  <c:v>3.8943148761152457E-3</c:v>
                </c:pt>
                <c:pt idx="260">
                  <c:v>3.79714257258712E-3</c:v>
                </c:pt>
                <c:pt idx="261">
                  <c:v>3.7023949482541951E-3</c:v>
                </c:pt>
                <c:pt idx="262">
                  <c:v>3.610011501466559E-3</c:v>
                </c:pt>
                <c:pt idx="263">
                  <c:v>3.5199332402644501E-3</c:v>
                </c:pt>
                <c:pt idx="264">
                  <c:v>3.4321026446342273E-3</c:v>
                </c:pt>
                <c:pt idx="265">
                  <c:v>3.3464636298852213E-3</c:v>
                </c:pt>
                <c:pt idx="266">
                  <c:v>3.262961510717588E-3</c:v>
                </c:pt>
                <c:pt idx="267">
                  <c:v>3.1815429664021622E-3</c:v>
                </c:pt>
                <c:pt idx="268">
                  <c:v>3.1021560068182907E-3</c:v>
                </c:pt>
                <c:pt idx="269">
                  <c:v>3.0247499389872701E-3</c:v>
                </c:pt>
                <c:pt idx="270">
                  <c:v>2.9492753349416034E-3</c:v>
                </c:pt>
                <c:pt idx="271">
                  <c:v>2.8756839999690698E-3</c:v>
                </c:pt>
                <c:pt idx="272">
                  <c:v>2.8039289420505042E-3</c:v>
                </c:pt>
                <c:pt idx="273">
                  <c:v>2.7339643416741666E-3</c:v>
                </c:pt>
                <c:pt idx="274">
                  <c:v>2.6657455226359872E-3</c:v>
                </c:pt>
                <c:pt idx="275">
                  <c:v>2.5992289235823307E-3</c:v>
                </c:pt>
                <c:pt idx="276">
                  <c:v>2.534372069998625E-3</c:v>
                </c:pt>
                <c:pt idx="277">
                  <c:v>2.4711335473401874E-3</c:v>
                </c:pt>
                <c:pt idx="278">
                  <c:v>2.409472974443716E-3</c:v>
                </c:pt>
                <c:pt idx="279">
                  <c:v>2.3493509776635335E-3</c:v>
                </c:pt>
                <c:pt idx="280">
                  <c:v>2.2907291658427198E-3</c:v>
                </c:pt>
                <c:pt idx="281">
                  <c:v>2.2335701059201796E-3</c:v>
                </c:pt>
                <c:pt idx="282">
                  <c:v>2.1778372986567263E-3</c:v>
                </c:pt>
                <c:pt idx="283">
                  <c:v>2.1234951557946857E-3</c:v>
                </c:pt>
                <c:pt idx="284">
                  <c:v>2.070508976883545E-3</c:v>
                </c:pt>
                <c:pt idx="285">
                  <c:v>2.01884492748583E-3</c:v>
                </c:pt>
                <c:pt idx="286">
                  <c:v>1.9684700173261405E-3</c:v>
                </c:pt>
                <c:pt idx="287">
                  <c:v>1.9193520792804009E-3</c:v>
                </c:pt>
                <c:pt idx="288">
                  <c:v>1.8714597490383511E-3</c:v>
                </c:pt>
                <c:pt idx="289">
                  <c:v>1.8247624447340627E-3</c:v>
                </c:pt>
                <c:pt idx="290">
                  <c:v>1.779230347628058E-3</c:v>
                </c:pt>
                <c:pt idx="291">
                  <c:v>1.7348343831216084E-3</c:v>
                </c:pt>
                <c:pt idx="292">
                  <c:v>1.6915462019948535E-3</c:v>
                </c:pt>
                <c:pt idx="293">
                  <c:v>1.6493381624655967E-3</c:v>
                </c:pt>
                <c:pt idx="294">
                  <c:v>1.6081833124719225E-3</c:v>
                </c:pt>
                <c:pt idx="295">
                  <c:v>1.5680553724450874E-3</c:v>
                </c:pt>
                <c:pt idx="296">
                  <c:v>1.5289287185726863E-3</c:v>
                </c:pt>
                <c:pt idx="297">
                  <c:v>1.4907783663868912E-3</c:v>
                </c:pt>
                <c:pt idx="298">
                  <c:v>1.4535799548660577E-3</c:v>
                </c:pt>
                <c:pt idx="299">
                  <c:v>1.4173097308951554E-3</c:v>
                </c:pt>
                <c:pt idx="300">
                  <c:v>1.3819445340086389E-3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316-4AB3-B058-385407445E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013743"/>
        <c:axId val="823990223"/>
      </c:scatterChart>
      <c:valAx>
        <c:axId val="824013743"/>
        <c:scaling>
          <c:orientation val="minMax"/>
          <c:max val="3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6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</a:t>
                </a:r>
                <a:r>
                  <a:rPr lang="en-US" sz="16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[s]</a:t>
                </a:r>
                <a:endParaRPr lang="en-US" sz="1600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1270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23990223"/>
        <c:crosses val="autoZero"/>
        <c:crossBetween val="midCat"/>
      </c:valAx>
      <c:valAx>
        <c:axId val="823990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Rolling Rate, </a:t>
                </a:r>
                <a:r>
                  <a:rPr lang="en-US" sz="1600" i="1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p</a:t>
                </a:r>
                <a:r>
                  <a:rPr lang="en-US" sz="16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[deg/s]</a:t>
                </a:r>
              </a:p>
            </c:rich>
          </c:tx>
          <c:layout>
            <c:manualLayout>
              <c:xMode val="edge"/>
              <c:yMode val="edge"/>
              <c:x val="2.4180634883555031E-2"/>
              <c:y val="0.234119632909925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1270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24013743"/>
        <c:crosses val="autoZero"/>
        <c:crossBetween val="midCat"/>
      </c:valAx>
      <c:spPr>
        <a:noFill/>
        <a:ln w="19050">
          <a:solidFill>
            <a:schemeClr val="tx1"/>
          </a:solidFill>
        </a:ln>
        <a:effectLst/>
      </c:spPr>
    </c:plotArea>
    <c:legend>
      <c:legendPos val="r"/>
      <c:legendEntry>
        <c:idx val="0"/>
        <c:txPr>
          <a:bodyPr rot="0" spcFirstLastPara="1" vertOverflow="ellipsis" vert="horz" wrap="square" anchor="ctr" anchorCtr="0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1"/>
        <c:txPr>
          <a:bodyPr rot="0" spcFirstLastPara="1" vertOverflow="ellipsis" vert="horz" wrap="square" anchor="ctr" anchorCtr="0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72749024280705177"/>
          <c:y val="0.42168364668702124"/>
          <c:w val="0.1533012028000473"/>
          <c:h val="0.11620391570647566"/>
        </c:manualLayout>
      </c:layout>
      <c:overlay val="0"/>
      <c:spPr>
        <a:solidFill>
          <a:schemeClr val="bg1"/>
        </a:solidFill>
        <a:ln w="19050">
          <a:solidFill>
            <a:schemeClr val="dk1"/>
          </a:solidFill>
        </a:ln>
        <a:effectLst/>
      </c:spPr>
      <c:txPr>
        <a:bodyPr rot="0" spcFirstLastPara="1" vertOverflow="ellipsis" vert="horz" wrap="square" anchor="ctr" anchorCtr="0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718956118566963"/>
          <c:y val="3.1849676898883975E-2"/>
          <c:w val="0.83826328154029006"/>
          <c:h val="0.79459397771748719"/>
        </c:manualLayout>
      </c:layout>
      <c:scatterChart>
        <c:scatterStyle val="lineMarker"/>
        <c:varyColors val="0"/>
        <c:ser>
          <c:idx val="1"/>
          <c:order val="0"/>
          <c:tx>
            <c:v>PID</c:v>
          </c:tx>
          <c:spPr>
            <a:ln w="25400" cap="rnd">
              <a:solidFill>
                <a:schemeClr val="dk1"/>
              </a:solidFill>
              <a:round/>
            </a:ln>
            <a:effectLst/>
          </c:spPr>
          <c:marker>
            <c:symbol val="none"/>
          </c:marker>
          <c:xVal>
            <c:numRef>
              <c:f>Sheet1!$M$6:$M$306</c:f>
              <c:numCache>
                <c:formatCode>0.00</c:formatCode>
                <c:ptCount val="30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6.0000000000000005E-2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9.9999999999999992E-2</c:v>
                </c:pt>
                <c:pt idx="11">
                  <c:v>0.10999999999999999</c:v>
                </c:pt>
                <c:pt idx="12">
                  <c:v>0.11999999999999998</c:v>
                </c:pt>
                <c:pt idx="13">
                  <c:v>0.12999999999999998</c:v>
                </c:pt>
                <c:pt idx="14">
                  <c:v>0.13999999999999999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0.18000000000000002</c:v>
                </c:pt>
                <c:pt idx="19">
                  <c:v>0.19000000000000003</c:v>
                </c:pt>
                <c:pt idx="20">
                  <c:v>0.20000000000000004</c:v>
                </c:pt>
                <c:pt idx="21">
                  <c:v>0.21000000000000005</c:v>
                </c:pt>
                <c:pt idx="22">
                  <c:v>0.22000000000000006</c:v>
                </c:pt>
                <c:pt idx="23">
                  <c:v>0.23000000000000007</c:v>
                </c:pt>
                <c:pt idx="24">
                  <c:v>0.24000000000000007</c:v>
                </c:pt>
                <c:pt idx="25">
                  <c:v>0.25000000000000006</c:v>
                </c:pt>
                <c:pt idx="26">
                  <c:v>0.26000000000000006</c:v>
                </c:pt>
                <c:pt idx="27">
                  <c:v>0.27000000000000007</c:v>
                </c:pt>
                <c:pt idx="28">
                  <c:v>0.28000000000000008</c:v>
                </c:pt>
                <c:pt idx="29">
                  <c:v>0.29000000000000009</c:v>
                </c:pt>
                <c:pt idx="30">
                  <c:v>0.3000000000000001</c:v>
                </c:pt>
                <c:pt idx="31">
                  <c:v>0.31000000000000011</c:v>
                </c:pt>
                <c:pt idx="32">
                  <c:v>0.32000000000000012</c:v>
                </c:pt>
                <c:pt idx="33">
                  <c:v>0.33000000000000013</c:v>
                </c:pt>
                <c:pt idx="34">
                  <c:v>0.34000000000000014</c:v>
                </c:pt>
                <c:pt idx="35">
                  <c:v>0.35000000000000014</c:v>
                </c:pt>
                <c:pt idx="36">
                  <c:v>0.36000000000000015</c:v>
                </c:pt>
                <c:pt idx="37">
                  <c:v>0.37000000000000016</c:v>
                </c:pt>
                <c:pt idx="38">
                  <c:v>0.38000000000000017</c:v>
                </c:pt>
                <c:pt idx="39">
                  <c:v>0.39000000000000018</c:v>
                </c:pt>
                <c:pt idx="40">
                  <c:v>0.40000000000000019</c:v>
                </c:pt>
                <c:pt idx="41">
                  <c:v>0.4100000000000002</c:v>
                </c:pt>
                <c:pt idx="42">
                  <c:v>0.42000000000000021</c:v>
                </c:pt>
                <c:pt idx="43">
                  <c:v>0.43000000000000022</c:v>
                </c:pt>
                <c:pt idx="44">
                  <c:v>0.44000000000000022</c:v>
                </c:pt>
                <c:pt idx="45">
                  <c:v>0.45000000000000023</c:v>
                </c:pt>
                <c:pt idx="46">
                  <c:v>0.46000000000000024</c:v>
                </c:pt>
                <c:pt idx="47">
                  <c:v>0.47000000000000025</c:v>
                </c:pt>
                <c:pt idx="48">
                  <c:v>0.48000000000000026</c:v>
                </c:pt>
                <c:pt idx="49">
                  <c:v>0.49000000000000027</c:v>
                </c:pt>
                <c:pt idx="50">
                  <c:v>0.50000000000000022</c:v>
                </c:pt>
                <c:pt idx="51">
                  <c:v>0.51000000000000023</c:v>
                </c:pt>
                <c:pt idx="52">
                  <c:v>0.52000000000000024</c:v>
                </c:pt>
                <c:pt idx="53">
                  <c:v>0.53000000000000025</c:v>
                </c:pt>
                <c:pt idx="54">
                  <c:v>0.54000000000000026</c:v>
                </c:pt>
                <c:pt idx="55">
                  <c:v>0.55000000000000027</c:v>
                </c:pt>
                <c:pt idx="56">
                  <c:v>0.56000000000000028</c:v>
                </c:pt>
                <c:pt idx="57">
                  <c:v>0.57000000000000028</c:v>
                </c:pt>
                <c:pt idx="58">
                  <c:v>0.58000000000000029</c:v>
                </c:pt>
                <c:pt idx="59">
                  <c:v>0.5900000000000003</c:v>
                </c:pt>
                <c:pt idx="60">
                  <c:v>0.60000000000000031</c:v>
                </c:pt>
                <c:pt idx="61">
                  <c:v>0.61000000000000032</c:v>
                </c:pt>
                <c:pt idx="62">
                  <c:v>0.62000000000000033</c:v>
                </c:pt>
                <c:pt idx="63">
                  <c:v>0.63000000000000034</c:v>
                </c:pt>
                <c:pt idx="64">
                  <c:v>0.64000000000000035</c:v>
                </c:pt>
                <c:pt idx="65">
                  <c:v>0.65000000000000036</c:v>
                </c:pt>
                <c:pt idx="66">
                  <c:v>0.66000000000000036</c:v>
                </c:pt>
                <c:pt idx="67">
                  <c:v>0.67000000000000037</c:v>
                </c:pt>
                <c:pt idx="68">
                  <c:v>0.68000000000000038</c:v>
                </c:pt>
                <c:pt idx="69">
                  <c:v>0.69000000000000039</c:v>
                </c:pt>
                <c:pt idx="70">
                  <c:v>0.7000000000000004</c:v>
                </c:pt>
                <c:pt idx="71">
                  <c:v>0.71000000000000041</c:v>
                </c:pt>
                <c:pt idx="72">
                  <c:v>0.72000000000000042</c:v>
                </c:pt>
                <c:pt idx="73">
                  <c:v>0.73000000000000043</c:v>
                </c:pt>
                <c:pt idx="74">
                  <c:v>0.74000000000000044</c:v>
                </c:pt>
                <c:pt idx="75">
                  <c:v>0.75000000000000044</c:v>
                </c:pt>
                <c:pt idx="76">
                  <c:v>0.76000000000000045</c:v>
                </c:pt>
                <c:pt idx="77">
                  <c:v>0.77000000000000046</c:v>
                </c:pt>
                <c:pt idx="78">
                  <c:v>0.78000000000000047</c:v>
                </c:pt>
                <c:pt idx="79">
                  <c:v>0.79000000000000048</c:v>
                </c:pt>
                <c:pt idx="80">
                  <c:v>0.80000000000000049</c:v>
                </c:pt>
                <c:pt idx="81">
                  <c:v>0.8100000000000005</c:v>
                </c:pt>
                <c:pt idx="82">
                  <c:v>0.82000000000000051</c:v>
                </c:pt>
                <c:pt idx="83">
                  <c:v>0.83000000000000052</c:v>
                </c:pt>
                <c:pt idx="84">
                  <c:v>0.84000000000000052</c:v>
                </c:pt>
                <c:pt idx="85">
                  <c:v>0.85000000000000053</c:v>
                </c:pt>
                <c:pt idx="86">
                  <c:v>0.86000000000000054</c:v>
                </c:pt>
                <c:pt idx="87">
                  <c:v>0.87000000000000055</c:v>
                </c:pt>
                <c:pt idx="88">
                  <c:v>0.88000000000000056</c:v>
                </c:pt>
                <c:pt idx="89">
                  <c:v>0.89000000000000057</c:v>
                </c:pt>
                <c:pt idx="90">
                  <c:v>0.90000000000000058</c:v>
                </c:pt>
                <c:pt idx="91">
                  <c:v>0.91000000000000059</c:v>
                </c:pt>
                <c:pt idx="92">
                  <c:v>0.9200000000000006</c:v>
                </c:pt>
                <c:pt idx="93">
                  <c:v>0.9300000000000006</c:v>
                </c:pt>
                <c:pt idx="94">
                  <c:v>0.94000000000000061</c:v>
                </c:pt>
                <c:pt idx="95">
                  <c:v>0.95000000000000062</c:v>
                </c:pt>
                <c:pt idx="96">
                  <c:v>0.96000000000000063</c:v>
                </c:pt>
                <c:pt idx="97">
                  <c:v>0.97000000000000064</c:v>
                </c:pt>
                <c:pt idx="98">
                  <c:v>0.98000000000000065</c:v>
                </c:pt>
                <c:pt idx="99">
                  <c:v>0.99000000000000066</c:v>
                </c:pt>
                <c:pt idx="100">
                  <c:v>1.0000000000000007</c:v>
                </c:pt>
                <c:pt idx="101">
                  <c:v>1.0100000000000007</c:v>
                </c:pt>
                <c:pt idx="102">
                  <c:v>1.0200000000000007</c:v>
                </c:pt>
                <c:pt idx="103">
                  <c:v>1.0300000000000007</c:v>
                </c:pt>
                <c:pt idx="104">
                  <c:v>1.0400000000000007</c:v>
                </c:pt>
                <c:pt idx="105">
                  <c:v>1.0500000000000007</c:v>
                </c:pt>
                <c:pt idx="106">
                  <c:v>1.0600000000000007</c:v>
                </c:pt>
                <c:pt idx="107">
                  <c:v>1.0700000000000007</c:v>
                </c:pt>
                <c:pt idx="108">
                  <c:v>1.0800000000000007</c:v>
                </c:pt>
                <c:pt idx="109">
                  <c:v>1.0900000000000007</c:v>
                </c:pt>
                <c:pt idx="110">
                  <c:v>1.1000000000000008</c:v>
                </c:pt>
                <c:pt idx="111">
                  <c:v>1.1100000000000008</c:v>
                </c:pt>
                <c:pt idx="112">
                  <c:v>1.1200000000000008</c:v>
                </c:pt>
                <c:pt idx="113">
                  <c:v>1.1300000000000008</c:v>
                </c:pt>
                <c:pt idx="114">
                  <c:v>1.1400000000000008</c:v>
                </c:pt>
                <c:pt idx="115">
                  <c:v>1.1500000000000008</c:v>
                </c:pt>
                <c:pt idx="116">
                  <c:v>1.1600000000000008</c:v>
                </c:pt>
                <c:pt idx="117">
                  <c:v>1.1700000000000008</c:v>
                </c:pt>
                <c:pt idx="118">
                  <c:v>1.1800000000000008</c:v>
                </c:pt>
                <c:pt idx="119">
                  <c:v>1.1900000000000008</c:v>
                </c:pt>
                <c:pt idx="120">
                  <c:v>1.2000000000000008</c:v>
                </c:pt>
                <c:pt idx="121">
                  <c:v>1.2100000000000009</c:v>
                </c:pt>
                <c:pt idx="122">
                  <c:v>1.2200000000000009</c:v>
                </c:pt>
                <c:pt idx="123">
                  <c:v>1.2300000000000009</c:v>
                </c:pt>
                <c:pt idx="124">
                  <c:v>1.2400000000000009</c:v>
                </c:pt>
                <c:pt idx="125">
                  <c:v>1.2500000000000009</c:v>
                </c:pt>
                <c:pt idx="126">
                  <c:v>1.2600000000000009</c:v>
                </c:pt>
                <c:pt idx="127">
                  <c:v>1.2700000000000009</c:v>
                </c:pt>
                <c:pt idx="128">
                  <c:v>1.2800000000000009</c:v>
                </c:pt>
                <c:pt idx="129">
                  <c:v>1.2900000000000009</c:v>
                </c:pt>
                <c:pt idx="130">
                  <c:v>1.3000000000000009</c:v>
                </c:pt>
                <c:pt idx="131">
                  <c:v>1.3100000000000009</c:v>
                </c:pt>
                <c:pt idx="132">
                  <c:v>1.320000000000001</c:v>
                </c:pt>
                <c:pt idx="133">
                  <c:v>1.330000000000001</c:v>
                </c:pt>
                <c:pt idx="134">
                  <c:v>1.340000000000001</c:v>
                </c:pt>
                <c:pt idx="135">
                  <c:v>1.350000000000001</c:v>
                </c:pt>
                <c:pt idx="136">
                  <c:v>1.360000000000001</c:v>
                </c:pt>
                <c:pt idx="137">
                  <c:v>1.370000000000001</c:v>
                </c:pt>
                <c:pt idx="138">
                  <c:v>1.380000000000001</c:v>
                </c:pt>
                <c:pt idx="139">
                  <c:v>1.390000000000001</c:v>
                </c:pt>
                <c:pt idx="140">
                  <c:v>1.400000000000001</c:v>
                </c:pt>
                <c:pt idx="141">
                  <c:v>1.410000000000001</c:v>
                </c:pt>
                <c:pt idx="142">
                  <c:v>1.420000000000001</c:v>
                </c:pt>
                <c:pt idx="143">
                  <c:v>1.430000000000001</c:v>
                </c:pt>
                <c:pt idx="144">
                  <c:v>1.4400000000000011</c:v>
                </c:pt>
                <c:pt idx="145">
                  <c:v>1.4500000000000011</c:v>
                </c:pt>
                <c:pt idx="146">
                  <c:v>1.4600000000000011</c:v>
                </c:pt>
                <c:pt idx="147">
                  <c:v>1.4700000000000011</c:v>
                </c:pt>
                <c:pt idx="148">
                  <c:v>1.4800000000000011</c:v>
                </c:pt>
                <c:pt idx="149">
                  <c:v>1.4900000000000011</c:v>
                </c:pt>
                <c:pt idx="150">
                  <c:v>1.5000000000000011</c:v>
                </c:pt>
                <c:pt idx="151">
                  <c:v>1.5100000000000011</c:v>
                </c:pt>
                <c:pt idx="152">
                  <c:v>1.5200000000000011</c:v>
                </c:pt>
                <c:pt idx="153">
                  <c:v>1.5300000000000011</c:v>
                </c:pt>
                <c:pt idx="154">
                  <c:v>1.5400000000000011</c:v>
                </c:pt>
                <c:pt idx="155">
                  <c:v>1.5500000000000012</c:v>
                </c:pt>
                <c:pt idx="156">
                  <c:v>1.5600000000000012</c:v>
                </c:pt>
                <c:pt idx="157">
                  <c:v>1.5700000000000012</c:v>
                </c:pt>
                <c:pt idx="158">
                  <c:v>1.5800000000000012</c:v>
                </c:pt>
                <c:pt idx="159">
                  <c:v>1.5900000000000012</c:v>
                </c:pt>
                <c:pt idx="160">
                  <c:v>1.6000000000000012</c:v>
                </c:pt>
                <c:pt idx="161">
                  <c:v>1.6100000000000012</c:v>
                </c:pt>
                <c:pt idx="162">
                  <c:v>1.6200000000000012</c:v>
                </c:pt>
                <c:pt idx="163">
                  <c:v>1.6300000000000012</c:v>
                </c:pt>
                <c:pt idx="164">
                  <c:v>1.6400000000000012</c:v>
                </c:pt>
                <c:pt idx="165">
                  <c:v>1.6500000000000012</c:v>
                </c:pt>
                <c:pt idx="166">
                  <c:v>1.6600000000000013</c:v>
                </c:pt>
                <c:pt idx="167">
                  <c:v>1.6700000000000013</c:v>
                </c:pt>
                <c:pt idx="168">
                  <c:v>1.6800000000000013</c:v>
                </c:pt>
                <c:pt idx="169">
                  <c:v>1.6900000000000013</c:v>
                </c:pt>
                <c:pt idx="170">
                  <c:v>1.7000000000000013</c:v>
                </c:pt>
                <c:pt idx="171">
                  <c:v>1.7100000000000013</c:v>
                </c:pt>
                <c:pt idx="172">
                  <c:v>1.7200000000000013</c:v>
                </c:pt>
                <c:pt idx="173">
                  <c:v>1.7300000000000013</c:v>
                </c:pt>
                <c:pt idx="174">
                  <c:v>1.7400000000000013</c:v>
                </c:pt>
                <c:pt idx="175">
                  <c:v>1.7500000000000013</c:v>
                </c:pt>
                <c:pt idx="176">
                  <c:v>1.7600000000000013</c:v>
                </c:pt>
                <c:pt idx="177">
                  <c:v>1.7700000000000014</c:v>
                </c:pt>
                <c:pt idx="178">
                  <c:v>1.7800000000000014</c:v>
                </c:pt>
                <c:pt idx="179">
                  <c:v>1.7900000000000014</c:v>
                </c:pt>
                <c:pt idx="180">
                  <c:v>1.8000000000000014</c:v>
                </c:pt>
                <c:pt idx="181">
                  <c:v>1.8100000000000014</c:v>
                </c:pt>
                <c:pt idx="182">
                  <c:v>1.8200000000000014</c:v>
                </c:pt>
                <c:pt idx="183">
                  <c:v>1.8300000000000014</c:v>
                </c:pt>
                <c:pt idx="184">
                  <c:v>1.8400000000000014</c:v>
                </c:pt>
                <c:pt idx="185">
                  <c:v>1.8500000000000014</c:v>
                </c:pt>
                <c:pt idx="186">
                  <c:v>1.8600000000000014</c:v>
                </c:pt>
                <c:pt idx="187">
                  <c:v>1.8700000000000014</c:v>
                </c:pt>
                <c:pt idx="188">
                  <c:v>1.8800000000000014</c:v>
                </c:pt>
                <c:pt idx="189">
                  <c:v>1.8900000000000015</c:v>
                </c:pt>
                <c:pt idx="190">
                  <c:v>1.9000000000000015</c:v>
                </c:pt>
                <c:pt idx="191">
                  <c:v>1.9100000000000015</c:v>
                </c:pt>
                <c:pt idx="192">
                  <c:v>1.9200000000000015</c:v>
                </c:pt>
                <c:pt idx="193">
                  <c:v>1.9300000000000015</c:v>
                </c:pt>
                <c:pt idx="194">
                  <c:v>1.9400000000000015</c:v>
                </c:pt>
                <c:pt idx="195">
                  <c:v>1.9500000000000015</c:v>
                </c:pt>
                <c:pt idx="196">
                  <c:v>1.9600000000000015</c:v>
                </c:pt>
                <c:pt idx="197">
                  <c:v>1.9700000000000015</c:v>
                </c:pt>
                <c:pt idx="198">
                  <c:v>1.9800000000000015</c:v>
                </c:pt>
                <c:pt idx="199">
                  <c:v>1.9900000000000015</c:v>
                </c:pt>
                <c:pt idx="200">
                  <c:v>2.0000000000000013</c:v>
                </c:pt>
                <c:pt idx="201">
                  <c:v>2.0100000000000011</c:v>
                </c:pt>
                <c:pt idx="202">
                  <c:v>2.0200000000000009</c:v>
                </c:pt>
                <c:pt idx="203">
                  <c:v>2.0300000000000007</c:v>
                </c:pt>
                <c:pt idx="204">
                  <c:v>2.0400000000000005</c:v>
                </c:pt>
                <c:pt idx="205">
                  <c:v>2.0500000000000003</c:v>
                </c:pt>
                <c:pt idx="206">
                  <c:v>2.06</c:v>
                </c:pt>
                <c:pt idx="207">
                  <c:v>2.0699999999999998</c:v>
                </c:pt>
                <c:pt idx="208">
                  <c:v>2.0799999999999996</c:v>
                </c:pt>
                <c:pt idx="209">
                  <c:v>2.0899999999999994</c:v>
                </c:pt>
                <c:pt idx="210">
                  <c:v>2.0999999999999992</c:v>
                </c:pt>
                <c:pt idx="211">
                  <c:v>2.109999999999999</c:v>
                </c:pt>
                <c:pt idx="212">
                  <c:v>2.1199999999999988</c:v>
                </c:pt>
                <c:pt idx="213">
                  <c:v>2.1299999999999986</c:v>
                </c:pt>
                <c:pt idx="214">
                  <c:v>2.1399999999999983</c:v>
                </c:pt>
                <c:pt idx="215">
                  <c:v>2.1499999999999981</c:v>
                </c:pt>
                <c:pt idx="216">
                  <c:v>2.1599999999999979</c:v>
                </c:pt>
                <c:pt idx="217">
                  <c:v>2.1699999999999977</c:v>
                </c:pt>
                <c:pt idx="218">
                  <c:v>2.1799999999999975</c:v>
                </c:pt>
                <c:pt idx="219">
                  <c:v>2.1899999999999973</c:v>
                </c:pt>
                <c:pt idx="220">
                  <c:v>2.1999999999999971</c:v>
                </c:pt>
                <c:pt idx="221">
                  <c:v>2.2099999999999969</c:v>
                </c:pt>
                <c:pt idx="222">
                  <c:v>2.2199999999999966</c:v>
                </c:pt>
                <c:pt idx="223">
                  <c:v>2.2299999999999964</c:v>
                </c:pt>
                <c:pt idx="224">
                  <c:v>2.2399999999999962</c:v>
                </c:pt>
                <c:pt idx="225">
                  <c:v>2.249999999999996</c:v>
                </c:pt>
                <c:pt idx="226">
                  <c:v>2.2599999999999958</c:v>
                </c:pt>
                <c:pt idx="227">
                  <c:v>2.2699999999999956</c:v>
                </c:pt>
                <c:pt idx="228">
                  <c:v>2.2799999999999954</c:v>
                </c:pt>
                <c:pt idx="229">
                  <c:v>2.2899999999999952</c:v>
                </c:pt>
                <c:pt idx="230">
                  <c:v>2.2999999999999949</c:v>
                </c:pt>
                <c:pt idx="231">
                  <c:v>2.3099999999999947</c:v>
                </c:pt>
                <c:pt idx="232">
                  <c:v>2.3199999999999945</c:v>
                </c:pt>
                <c:pt idx="233">
                  <c:v>2.3299999999999943</c:v>
                </c:pt>
                <c:pt idx="234">
                  <c:v>2.3399999999999941</c:v>
                </c:pt>
                <c:pt idx="235">
                  <c:v>2.3499999999999939</c:v>
                </c:pt>
                <c:pt idx="236">
                  <c:v>2.3599999999999937</c:v>
                </c:pt>
                <c:pt idx="237">
                  <c:v>2.3699999999999934</c:v>
                </c:pt>
                <c:pt idx="238">
                  <c:v>2.3799999999999932</c:v>
                </c:pt>
                <c:pt idx="239">
                  <c:v>2.389999999999993</c:v>
                </c:pt>
                <c:pt idx="240">
                  <c:v>2.3999999999999928</c:v>
                </c:pt>
                <c:pt idx="241">
                  <c:v>2.4099999999999926</c:v>
                </c:pt>
                <c:pt idx="242">
                  <c:v>2.4199999999999924</c:v>
                </c:pt>
                <c:pt idx="243">
                  <c:v>2.4299999999999922</c:v>
                </c:pt>
                <c:pt idx="244">
                  <c:v>2.439999999999992</c:v>
                </c:pt>
                <c:pt idx="245">
                  <c:v>2.4499999999999917</c:v>
                </c:pt>
                <c:pt idx="246">
                  <c:v>2.4599999999999915</c:v>
                </c:pt>
                <c:pt idx="247">
                  <c:v>2.4699999999999913</c:v>
                </c:pt>
                <c:pt idx="248">
                  <c:v>2.4799999999999911</c:v>
                </c:pt>
                <c:pt idx="249">
                  <c:v>2.4899999999999909</c:v>
                </c:pt>
                <c:pt idx="250">
                  <c:v>2.4999999999999907</c:v>
                </c:pt>
                <c:pt idx="251">
                  <c:v>2.5099999999999905</c:v>
                </c:pt>
                <c:pt idx="252">
                  <c:v>2.5199999999999902</c:v>
                </c:pt>
                <c:pt idx="253">
                  <c:v>2.52999999999999</c:v>
                </c:pt>
                <c:pt idx="254">
                  <c:v>2.5399999999999898</c:v>
                </c:pt>
                <c:pt idx="255">
                  <c:v>2.5499999999999896</c:v>
                </c:pt>
                <c:pt idx="256">
                  <c:v>2.5599999999999894</c:v>
                </c:pt>
                <c:pt idx="257">
                  <c:v>2.5699999999999892</c:v>
                </c:pt>
                <c:pt idx="258">
                  <c:v>2.579999999999989</c:v>
                </c:pt>
                <c:pt idx="259">
                  <c:v>2.5899999999999888</c:v>
                </c:pt>
                <c:pt idx="260">
                  <c:v>2.5999999999999885</c:v>
                </c:pt>
                <c:pt idx="261">
                  <c:v>2.6099999999999883</c:v>
                </c:pt>
                <c:pt idx="262">
                  <c:v>2.6199999999999881</c:v>
                </c:pt>
                <c:pt idx="263">
                  <c:v>2.6299999999999879</c:v>
                </c:pt>
                <c:pt idx="264">
                  <c:v>2.6399999999999877</c:v>
                </c:pt>
                <c:pt idx="265">
                  <c:v>2.6499999999999875</c:v>
                </c:pt>
                <c:pt idx="266">
                  <c:v>2.6599999999999873</c:v>
                </c:pt>
                <c:pt idx="267">
                  <c:v>2.6699999999999871</c:v>
                </c:pt>
                <c:pt idx="268">
                  <c:v>2.6799999999999868</c:v>
                </c:pt>
                <c:pt idx="269">
                  <c:v>2.6899999999999866</c:v>
                </c:pt>
                <c:pt idx="270">
                  <c:v>2.6999999999999864</c:v>
                </c:pt>
                <c:pt idx="271">
                  <c:v>2.7099999999999862</c:v>
                </c:pt>
                <c:pt idx="272">
                  <c:v>2.719999999999986</c:v>
                </c:pt>
                <c:pt idx="273">
                  <c:v>2.7299999999999858</c:v>
                </c:pt>
                <c:pt idx="274">
                  <c:v>2.7399999999999856</c:v>
                </c:pt>
                <c:pt idx="275">
                  <c:v>2.7499999999999853</c:v>
                </c:pt>
                <c:pt idx="276">
                  <c:v>2.7599999999999851</c:v>
                </c:pt>
                <c:pt idx="277">
                  <c:v>2.7699999999999849</c:v>
                </c:pt>
                <c:pt idx="278">
                  <c:v>2.7799999999999847</c:v>
                </c:pt>
                <c:pt idx="279">
                  <c:v>2.7899999999999845</c:v>
                </c:pt>
                <c:pt idx="280">
                  <c:v>2.7999999999999843</c:v>
                </c:pt>
                <c:pt idx="281">
                  <c:v>2.8099999999999841</c:v>
                </c:pt>
                <c:pt idx="282">
                  <c:v>2.8199999999999839</c:v>
                </c:pt>
                <c:pt idx="283">
                  <c:v>2.8299999999999836</c:v>
                </c:pt>
                <c:pt idx="284">
                  <c:v>2.8399999999999834</c:v>
                </c:pt>
                <c:pt idx="285">
                  <c:v>2.8499999999999832</c:v>
                </c:pt>
                <c:pt idx="286">
                  <c:v>2.859999999999983</c:v>
                </c:pt>
                <c:pt idx="287">
                  <c:v>2.8699999999999828</c:v>
                </c:pt>
                <c:pt idx="288">
                  <c:v>2.8799999999999826</c:v>
                </c:pt>
                <c:pt idx="289">
                  <c:v>2.8899999999999824</c:v>
                </c:pt>
                <c:pt idx="290">
                  <c:v>2.8999999999999821</c:v>
                </c:pt>
                <c:pt idx="291">
                  <c:v>2.9099999999999819</c:v>
                </c:pt>
                <c:pt idx="292">
                  <c:v>2.9199999999999817</c:v>
                </c:pt>
                <c:pt idx="293">
                  <c:v>2.9299999999999815</c:v>
                </c:pt>
                <c:pt idx="294">
                  <c:v>2.9399999999999813</c:v>
                </c:pt>
                <c:pt idx="295">
                  <c:v>2.9499999999999811</c:v>
                </c:pt>
                <c:pt idx="296">
                  <c:v>2.9599999999999809</c:v>
                </c:pt>
                <c:pt idx="297">
                  <c:v>2.9699999999999807</c:v>
                </c:pt>
                <c:pt idx="298">
                  <c:v>2.9799999999999804</c:v>
                </c:pt>
                <c:pt idx="299">
                  <c:v>2.9899999999999802</c:v>
                </c:pt>
                <c:pt idx="300">
                  <c:v>2.99999999999998</c:v>
                </c:pt>
              </c:numCache>
            </c:numRef>
          </c:xVal>
          <c:yVal>
            <c:numRef>
              <c:f>Sheet1!$S$6:$S$306</c:f>
              <c:numCache>
                <c:formatCode>General</c:formatCode>
                <c:ptCount val="301"/>
                <c:pt idx="0">
                  <c:v>-21.5</c:v>
                </c:pt>
                <c:pt idx="1">
                  <c:v>-21.5</c:v>
                </c:pt>
                <c:pt idx="2">
                  <c:v>-21.5</c:v>
                </c:pt>
                <c:pt idx="3">
                  <c:v>-21.5</c:v>
                </c:pt>
                <c:pt idx="4">
                  <c:v>-21.5</c:v>
                </c:pt>
                <c:pt idx="5">
                  <c:v>-21.5</c:v>
                </c:pt>
                <c:pt idx="6">
                  <c:v>-21.5</c:v>
                </c:pt>
                <c:pt idx="7">
                  <c:v>-18.332247788708155</c:v>
                </c:pt>
                <c:pt idx="8">
                  <c:v>-3.7766736695743379</c:v>
                </c:pt>
                <c:pt idx="9">
                  <c:v>3.1522034439319366</c:v>
                </c:pt>
                <c:pt idx="10">
                  <c:v>5.0626571752714637</c:v>
                </c:pt>
                <c:pt idx="11">
                  <c:v>6.3698332709252607</c:v>
                </c:pt>
                <c:pt idx="12">
                  <c:v>7.1671979582314922</c:v>
                </c:pt>
                <c:pt idx="13">
                  <c:v>7.2730284036690751</c:v>
                </c:pt>
                <c:pt idx="14">
                  <c:v>7.0362980764344396</c:v>
                </c:pt>
                <c:pt idx="15">
                  <c:v>6.672136912002955</c:v>
                </c:pt>
                <c:pt idx="16">
                  <c:v>6.2349373184937447</c:v>
                </c:pt>
                <c:pt idx="17">
                  <c:v>5.7633436808891183</c:v>
                </c:pt>
                <c:pt idx="18">
                  <c:v>5.2920097965542903</c:v>
                </c:pt>
                <c:pt idx="19">
                  <c:v>4.8386669787563319</c:v>
                </c:pt>
                <c:pt idx="20">
                  <c:v>4.4109442910162731</c:v>
                </c:pt>
                <c:pt idx="21">
                  <c:v>4.0127190475728121</c:v>
                </c:pt>
                <c:pt idx="22">
                  <c:v>3.6453978099146505</c:v>
                </c:pt>
                <c:pt idx="23">
                  <c:v>3.3085830317096141</c:v>
                </c:pt>
                <c:pt idx="24">
                  <c:v>3.00093569567828</c:v>
                </c:pt>
                <c:pt idx="25">
                  <c:v>2.7206850712657511</c:v>
                </c:pt>
                <c:pt idx="26">
                  <c:v>2.4658631343337363</c:v>
                </c:pt>
                <c:pt idx="27">
                  <c:v>2.234452196738145</c:v>
                </c:pt>
                <c:pt idx="28">
                  <c:v>2.0244811456656553</c:v>
                </c:pt>
                <c:pt idx="29">
                  <c:v>1.8340760028908343</c:v>
                </c:pt>
                <c:pt idx="30">
                  <c:v>1.6614834760806347</c:v>
                </c:pt>
                <c:pt idx="31">
                  <c:v>1.5050805370551643</c:v>
                </c:pt>
                <c:pt idx="32">
                  <c:v>1.3633754600070067</c:v>
                </c:pt>
                <c:pt idx="33">
                  <c:v>1.2350036549342285</c:v>
                </c:pt>
                <c:pt idx="34">
                  <c:v>1.1187207798598922</c:v>
                </c:pt>
                <c:pt idx="35">
                  <c:v>1.0133946056899295</c:v>
                </c:pt>
                <c:pt idx="36">
                  <c:v>0.91799644580332118</c:v>
                </c:pt>
                <c:pt idx="37">
                  <c:v>0.83159263590579791</c:v>
                </c:pt>
                <c:pt idx="38">
                  <c:v>0.75333634738602173</c:v>
                </c:pt>
                <c:pt idx="39">
                  <c:v>0.68245988007438951</c:v>
                </c:pt>
                <c:pt idx="40">
                  <c:v>0.61826749854601193</c:v>
                </c:pt>
                <c:pt idx="41">
                  <c:v>0.56012882959781574</c:v>
                </c:pt>
                <c:pt idx="42">
                  <c:v>0.50747281121070698</c:v>
                </c:pt>
                <c:pt idx="43">
                  <c:v>0.45978216788320037</c:v>
                </c:pt>
                <c:pt idx="44">
                  <c:v>0.41658837946067018</c:v>
                </c:pt>
                <c:pt idx="45">
                  <c:v>0.37746710740528222</c:v>
                </c:pt>
                <c:pt idx="46">
                  <c:v>0.34203404190383169</c:v>
                </c:pt>
                <c:pt idx="47">
                  <c:v>0.30994113419739311</c:v>
                </c:pt>
                <c:pt idx="48">
                  <c:v>0.28087318033550623</c:v>
                </c:pt>
                <c:pt idx="49">
                  <c:v>0.2545447247799284</c:v>
                </c:pt>
                <c:pt idx="50">
                  <c:v>0.23069725467077751</c:v>
                </c:pt>
                <c:pt idx="51">
                  <c:v>0.2090966579370257</c:v>
                </c:pt>
                <c:pt idx="52">
                  <c:v>0.18953092073500055</c:v>
                </c:pt>
                <c:pt idx="53">
                  <c:v>0.17180804186701304</c:v>
                </c:pt>
                <c:pt idx="54">
                  <c:v>0.15575414384518516</c:v>
                </c:pt>
                <c:pt idx="55">
                  <c:v>0.14121176213157705</c:v>
                </c:pt>
                <c:pt idx="56">
                  <c:v>0.12803829579360815</c:v>
                </c:pt>
                <c:pt idx="57">
                  <c:v>0.11610460437199527</c:v>
                </c:pt>
                <c:pt idx="58">
                  <c:v>0.10529373718035434</c:v>
                </c:pt>
                <c:pt idx="59">
                  <c:v>9.5499782548246703E-2</c:v>
                </c:pt>
                <c:pt idx="60">
                  <c:v>8.6626825691825726E-2</c:v>
                </c:pt>
                <c:pt idx="61">
                  <c:v>7.858800496445123E-2</c:v>
                </c:pt>
                <c:pt idx="62">
                  <c:v>7.1304657200558619E-2</c:v>
                </c:pt>
                <c:pt idx="63">
                  <c:v>6.4705543742544891E-2</c:v>
                </c:pt>
                <c:pt idx="64">
                  <c:v>5.8726149538972816E-2</c:v>
                </c:pt>
                <c:pt idx="65">
                  <c:v>5.3308048411472186E-2</c:v>
                </c:pt>
                <c:pt idx="66">
                  <c:v>4.839832824699708E-2</c:v>
                </c:pt>
                <c:pt idx="67">
                  <c:v>4.3949070455159778E-2</c:v>
                </c:pt>
                <c:pt idx="68">
                  <c:v>3.9916878571938763E-2</c:v>
                </c:pt>
                <c:pt idx="69">
                  <c:v>3.6262451365245418E-2</c:v>
                </c:pt>
                <c:pt idx="70">
                  <c:v>3.2950196244604268E-2</c:v>
                </c:pt>
                <c:pt idx="71">
                  <c:v>2.9947879166767999E-2</c:v>
                </c:pt>
                <c:pt idx="72">
                  <c:v>2.7226307594062749E-2</c:v>
                </c:pt>
                <c:pt idx="73">
                  <c:v>2.4759043385491286E-2</c:v>
                </c:pt>
                <c:pt idx="74">
                  <c:v>2.2522142790099675E-2</c:v>
                </c:pt>
                <c:pt idx="75">
                  <c:v>2.0493920989601566E-2</c:v>
                </c:pt>
                <c:pt idx="76">
                  <c:v>1.8654738869408993E-2</c:v>
                </c:pt>
                <c:pt idx="77">
                  <c:v>1.6986809918444756E-2</c:v>
                </c:pt>
                <c:pt idx="78">
                  <c:v>1.5474025361990384E-2</c:v>
                </c:pt>
                <c:pt idx="79">
                  <c:v>1.4101795799281447E-2</c:v>
                </c:pt>
                <c:pt idx="80">
                  <c:v>1.2856907795286032E-2</c:v>
                </c:pt>
                <c:pt idx="81">
                  <c:v>1.1727394007949199E-2</c:v>
                </c:pt>
                <c:pt idx="82">
                  <c:v>1.0702415577951319E-2</c:v>
                </c:pt>
                <c:pt idx="83">
                  <c:v>9.7721556202992055E-3</c:v>
                </c:pt>
                <c:pt idx="84">
                  <c:v>8.9277227723196517E-3</c:v>
                </c:pt>
                <c:pt idx="85">
                  <c:v>8.1610638443810612E-3</c:v>
                </c:pt>
                <c:pt idx="86">
                  <c:v>7.464884718984266E-3</c:v>
                </c:pt>
                <c:pt idx="87">
                  <c:v>6.8325787170036567E-3</c:v>
                </c:pt>
                <c:pt idx="88">
                  <c:v>6.2581617240341503E-3</c:v>
                </c:pt>
                <c:pt idx="89">
                  <c:v>5.7362134435794965E-3</c:v>
                </c:pt>
                <c:pt idx="90">
                  <c:v>5.2618241945696087E-3</c:v>
                </c:pt>
                <c:pt idx="91">
                  <c:v>4.8305467303922933E-3</c:v>
                </c:pt>
                <c:pt idx="92">
                  <c:v>4.4383526077202695E-3</c:v>
                </c:pt>
                <c:pt idx="93">
                  <c:v>4.0815926730545515E-3</c:v>
                </c:pt>
                <c:pt idx="94">
                  <c:v>3.7569612793107998E-3</c:v>
                </c:pt>
                <c:pt idx="95">
                  <c:v>3.4614638791406749E-3</c:v>
                </c:pt>
                <c:pt idx="96">
                  <c:v>3.192387679893105E-3</c:v>
                </c:pt>
                <c:pt idx="97">
                  <c:v>2.9472750652379809E-3</c:v>
                </c:pt>
                <c:pt idx="98">
                  <c:v>2.7238995274010691E-3</c:v>
                </c:pt>
                <c:pt idx="99">
                  <c:v>2.5202438709321928E-3</c:v>
                </c:pt>
                <c:pt idx="100">
                  <c:v>2.3344804736738223E-3</c:v>
                </c:pt>
                <c:pt idx="101">
                  <c:v>2.1649534099467682E-3</c:v>
                </c:pt>
                <c:pt idx="102">
                  <c:v>2.0101622619095871E-3</c:v>
                </c:pt>
                <c:pt idx="103">
                  <c:v>1.8687474585876163E-3</c:v>
                </c:pt>
                <c:pt idx="104">
                  <c:v>1.7394769989791947E-3</c:v>
                </c:pt>
                <c:pt idx="105">
                  <c:v>1.6212344260686795E-3</c:v>
                </c:pt>
                <c:pt idx="106">
                  <c:v>1.5130079389366891E-3</c:v>
                </c:pt>
                <c:pt idx="107">
                  <c:v>1.4138805301831259E-3</c:v>
                </c:pt>
                <c:pt idx="108">
                  <c:v>1.3230210544413479E-3</c:v>
                </c:pt>
                <c:pt idx="109">
                  <c:v>1.2396761393483058E-3</c:v>
                </c:pt>
                <c:pt idx="110">
                  <c:v>1.1631628615253464E-3</c:v>
                </c:pt>
                <c:pt idx="111">
                  <c:v>1.0928621109458359E-3</c:v>
                </c:pt>
                <c:pt idx="112">
                  <c:v>1.0282125833310507E-3</c:v>
                </c:pt>
                <c:pt idx="113">
                  <c:v>9.687053389853123E-4</c:v>
                </c:pt>
                <c:pt idx="114">
                  <c:v>9.138788736454545E-4</c:v>
                </c:pt>
                <c:pt idx="115">
                  <c:v>8.6331465669059471E-4</c:v>
                </c:pt>
                <c:pt idx="116">
                  <c:v>8.1663308796534051E-4</c:v>
                </c:pt>
                <c:pt idx="117">
                  <c:v>7.7348983683980799E-4</c:v>
                </c:pt>
                <c:pt idx="118">
                  <c:v>7.3357252652497817E-4</c:v>
                </c:pt>
                <c:pt idx="119">
                  <c:v>6.965977321329031E-4</c:v>
                </c:pt>
                <c:pt idx="120">
                  <c:v>6.6230825907825919E-4</c:v>
                </c:pt>
                <c:pt idx="121">
                  <c:v>6.3047068093829983E-4</c:v>
                </c:pt>
                <c:pt idx="122">
                  <c:v>6.0087310842327213E-4</c:v>
                </c:pt>
                <c:pt idx="123">
                  <c:v>5.7332316727608246E-4</c:v>
                </c:pt>
                <c:pt idx="124">
                  <c:v>5.4764616977671932E-4</c:v>
                </c:pt>
                <c:pt idx="125">
                  <c:v>5.2368345495851232E-4</c:v>
                </c:pt>
                <c:pt idx="126">
                  <c:v>5.012908887175177E-4</c:v>
                </c:pt>
                <c:pt idx="127">
                  <c:v>4.8033750264543651E-4</c:v>
                </c:pt>
                <c:pt idx="128">
                  <c:v>4.6070426231738237E-4</c:v>
                </c:pt>
                <c:pt idx="129">
                  <c:v>4.4228295159880193E-4</c:v>
                </c:pt>
                <c:pt idx="130">
                  <c:v>4.2497516111342226E-4</c:v>
                </c:pt>
                <c:pt idx="131">
                  <c:v>4.0869137318165494E-4</c:v>
                </c:pt>
                <c:pt idx="132">
                  <c:v>3.9335013210155256E-4</c:v>
                </c:pt>
                <c:pt idx="133">
                  <c:v>3.7887729296219586E-4</c:v>
                </c:pt>
                <c:pt idx="134">
                  <c:v>3.6520534026514284E-4</c:v>
                </c:pt>
                <c:pt idx="135">
                  <c:v>3.5227277184472772E-4</c:v>
                </c:pt>
                <c:pt idx="136">
                  <c:v>3.40023539999873E-4</c:v>
                </c:pt>
                <c:pt idx="137">
                  <c:v>3.2840654533734803E-4</c:v>
                </c:pt>
                <c:pt idx="138">
                  <c:v>3.1737517792534975E-4</c:v>
                </c:pt>
                <c:pt idx="139">
                  <c:v>3.0688690214526748E-4</c:v>
                </c:pt>
                <c:pt idx="140">
                  <c:v>2.9690287994117714E-4</c:v>
                </c:pt>
                <c:pt idx="141">
                  <c:v>2.873876296352329E-4</c:v>
                </c:pt>
                <c:pt idx="142">
                  <c:v>2.7830871688626357E-4</c:v>
                </c:pt>
                <c:pt idx="143">
                  <c:v>2.696364745880947E-4</c:v>
                </c:pt>
                <c:pt idx="144">
                  <c:v>2.6134374926838067E-4</c:v>
                </c:pt>
                <c:pt idx="145">
                  <c:v>2.5340566968141964E-4</c:v>
                </c:pt>
                <c:pt idx="146">
                  <c:v>2.4579944010839905E-4</c:v>
                </c:pt>
                <c:pt idx="147">
                  <c:v>2.3850414975636752E-4</c:v>
                </c:pt>
                <c:pt idx="148">
                  <c:v>2.3150060264184869E-4</c:v>
                </c:pt>
                <c:pt idx="149">
                  <c:v>2.2477116116129819E-4</c:v>
                </c:pt>
                <c:pt idx="150">
                  <c:v>2.1829960563756606E-4</c:v>
                </c:pt>
                <c:pt idx="151">
                  <c:v>2.1207100729409012E-4</c:v>
                </c:pt>
                <c:pt idx="152">
                  <c:v>2.0607161094702425E-4</c:v>
                </c:pt>
                <c:pt idx="153">
                  <c:v>2.0028873178080248E-4</c:v>
                </c:pt>
                <c:pt idx="154">
                  <c:v>1.9471065843879726E-4</c:v>
                </c:pt>
                <c:pt idx="155">
                  <c:v>1.8932656801104453E-4</c:v>
                </c:pt>
                <c:pt idx="156">
                  <c:v>1.8412644649544452E-4</c:v>
                </c:pt>
                <c:pt idx="157">
                  <c:v>1.7910101831226932E-4</c:v>
                </c:pt>
                <c:pt idx="158">
                  <c:v>1.7424168209174973E-4</c:v>
                </c:pt>
                <c:pt idx="159">
                  <c:v>1.695404508418874E-4</c:v>
                </c:pt>
                <c:pt idx="160">
                  <c:v>1.6498990050025503E-4</c:v>
                </c:pt>
                <c:pt idx="161">
                  <c:v>1.605831200975974E-4</c:v>
                </c:pt>
                <c:pt idx="162">
                  <c:v>1.5631366877189024E-4</c:v>
                </c:pt>
                <c:pt idx="163">
                  <c:v>1.5217553603039113E-4</c:v>
                </c:pt>
                <c:pt idx="164">
                  <c:v>1.481631047715315E-4</c:v>
                </c:pt>
                <c:pt idx="165">
                  <c:v>1.4427111985191449E-4</c:v>
                </c:pt>
                <c:pt idx="166">
                  <c:v>1.4049465611053885E-4</c:v>
                </c:pt>
                <c:pt idx="167">
                  <c:v>1.3682909360956605E-4</c:v>
                </c:pt>
                <c:pt idx="168">
                  <c:v>1.332700911923744E-4</c:v>
                </c:pt>
                <c:pt idx="169">
                  <c:v>1.298135648905123E-4</c:v>
                </c:pt>
                <c:pt idx="170">
                  <c:v>1.2645566651533005E-4</c:v>
                </c:pt>
                <c:pt idx="171">
                  <c:v>1.2319276684799596E-4</c:v>
                </c:pt>
                <c:pt idx="172">
                  <c:v>1.2002143659177456E-4</c:v>
                </c:pt>
                <c:pt idx="173">
                  <c:v>1.1693843269149767E-4</c:v>
                </c:pt>
                <c:pt idx="174">
                  <c:v>1.1394068264314328E-4</c:v>
                </c:pt>
                <c:pt idx="175">
                  <c:v>1.1102527374474633E-4</c:v>
                </c:pt>
                <c:pt idx="176">
                  <c:v>1.0818943915754178E-4</c:v>
                </c:pt>
                <c:pt idx="177">
                  <c:v>1.0543054863330209E-4</c:v>
                </c:pt>
                <c:pt idx="178">
                  <c:v>1.0274609838558865E-4</c:v>
                </c:pt>
                <c:pt idx="179">
                  <c:v>1.0013370267718952E-4</c:v>
                </c:pt>
                <c:pt idx="180">
                  <c:v>9.7591084457678001E-5</c:v>
                </c:pt>
                <c:pt idx="181">
                  <c:v>9.5116069141979592E-5</c:v>
                </c:pt>
                <c:pt idx="182">
                  <c:v>9.2706577331735929E-5</c:v>
                </c:pt>
                <c:pt idx="183">
                  <c:v>9.0360618488563582E-5</c:v>
                </c:pt>
                <c:pt idx="184">
                  <c:v>8.8076285239782615E-5</c:v>
                </c:pt>
                <c:pt idx="185">
                  <c:v>8.5851748194976096E-5</c:v>
                </c:pt>
                <c:pt idx="186">
                  <c:v>8.3685251551023077E-5</c:v>
                </c:pt>
                <c:pt idx="187">
                  <c:v>8.1575107681204628E-5</c:v>
                </c:pt>
                <c:pt idx="188">
                  <c:v>7.951969419903171E-5</c:v>
                </c:pt>
                <c:pt idx="189">
                  <c:v>7.7517448798948563E-5</c:v>
                </c:pt>
                <c:pt idx="190">
                  <c:v>7.5566867740687466E-5</c:v>
                </c:pt>
                <c:pt idx="191">
                  <c:v>7.366650083276069E-5</c:v>
                </c:pt>
                <c:pt idx="192">
                  <c:v>7.1814949619330992E-5</c:v>
                </c:pt>
                <c:pt idx="193">
                  <c:v>7.0010863882644797E-5</c:v>
                </c:pt>
                <c:pt idx="194">
                  <c:v>6.8252939949556973E-5</c:v>
                </c:pt>
                <c:pt idx="195">
                  <c:v>6.653991790771599E-5</c:v>
                </c:pt>
                <c:pt idx="196">
                  <c:v>6.4870579323845698E-5</c:v>
                </c:pt>
                <c:pt idx="197">
                  <c:v>6.3243745378542895E-5</c:v>
                </c:pt>
                <c:pt idx="198">
                  <c:v>6.1658275360393366E-5</c:v>
                </c:pt>
                <c:pt idx="199">
                  <c:v>6.0113064077323836E-5</c:v>
                </c:pt>
                <c:pt idx="200">
                  <c:v>5.8607041559587819E-5</c:v>
                </c:pt>
                <c:pt idx="201">
                  <c:v>5.7139169935476603E-5</c:v>
                </c:pt>
                <c:pt idx="202">
                  <c:v>5.5708443385354273E-5</c:v>
                </c:pt>
                <c:pt idx="203">
                  <c:v>5.4313886056214788E-5</c:v>
                </c:pt>
                <c:pt idx="204">
                  <c:v>5.2954551255646187E-5</c:v>
                </c:pt>
                <c:pt idx="205">
                  <c:v>5.162951969216005E-5</c:v>
                </c:pt>
                <c:pt idx="206">
                  <c:v>5.0337899460550437E-5</c:v>
                </c:pt>
                <c:pt idx="207">
                  <c:v>4.9078823751623479E-5</c:v>
                </c:pt>
                <c:pt idx="208">
                  <c:v>4.7851450623137559E-5</c:v>
                </c:pt>
                <c:pt idx="209">
                  <c:v>4.6654962357853269E-5</c:v>
                </c:pt>
                <c:pt idx="210">
                  <c:v>4.5488563445014382E-5</c:v>
                </c:pt>
                <c:pt idx="211">
                  <c:v>4.4351481385450364E-5</c:v>
                </c:pt>
                <c:pt idx="212">
                  <c:v>4.324296429782104E-5</c:v>
                </c:pt>
                <c:pt idx="213">
                  <c:v>4.216228124778558E-5</c:v>
                </c:pt>
                <c:pt idx="214">
                  <c:v>4.1108721634288553E-5</c:v>
                </c:pt>
                <c:pt idx="215">
                  <c:v>4.0081593512078864E-5</c:v>
                </c:pt>
                <c:pt idx="216">
                  <c:v>3.9080223857764287E-5</c:v>
                </c:pt>
                <c:pt idx="217">
                  <c:v>3.810395790850539E-5</c:v>
                </c:pt>
                <c:pt idx="218">
                  <c:v>3.7152157974312816E-5</c:v>
                </c:pt>
                <c:pt idx="219">
                  <c:v>3.6224203652736667E-5</c:v>
                </c:pt>
                <c:pt idx="220">
                  <c:v>3.5319490955967522E-5</c:v>
                </c:pt>
                <c:pt idx="221">
                  <c:v>3.4437431889830332E-5</c:v>
                </c:pt>
                <c:pt idx="222">
                  <c:v>3.357745330471399E-5</c:v>
                </c:pt>
                <c:pt idx="223">
                  <c:v>3.2738997792144953E-5</c:v>
                </c:pt>
                <c:pt idx="224">
                  <c:v>3.1921522363514282E-5</c:v>
                </c:pt>
                <c:pt idx="225">
                  <c:v>3.1124497620518138E-5</c:v>
                </c:pt>
                <c:pt idx="226">
                  <c:v>3.0347408541514867E-5</c:v>
                </c:pt>
                <c:pt idx="227">
                  <c:v>2.9589753121489655E-5</c:v>
                </c:pt>
                <c:pt idx="228">
                  <c:v>2.8851042273943771E-5</c:v>
                </c:pt>
                <c:pt idx="229">
                  <c:v>2.8130799755895532E-5</c:v>
                </c:pt>
                <c:pt idx="230">
                  <c:v>2.742856088401753E-5</c:v>
                </c:pt>
                <c:pt idx="231">
                  <c:v>2.6743873991016791E-5</c:v>
                </c:pt>
                <c:pt idx="232">
                  <c:v>2.6076298045914215E-5</c:v>
                </c:pt>
                <c:pt idx="233">
                  <c:v>2.5425403600636345E-5</c:v>
                </c:pt>
                <c:pt idx="234">
                  <c:v>2.4790772226904179E-5</c:v>
                </c:pt>
                <c:pt idx="235">
                  <c:v>2.417199581879019E-5</c:v>
                </c:pt>
                <c:pt idx="236">
                  <c:v>2.3568677452980719E-5</c:v>
                </c:pt>
                <c:pt idx="237">
                  <c:v>2.2980429297334362E-5</c:v>
                </c:pt>
                <c:pt idx="238">
                  <c:v>2.2406873785539572E-5</c:v>
                </c:pt>
                <c:pt idx="239">
                  <c:v>2.1847643127334559E-5</c:v>
                </c:pt>
                <c:pt idx="240">
                  <c:v>2.1302378516938232E-5</c:v>
                </c:pt>
                <c:pt idx="241">
                  <c:v>2.0770730306045489E-5</c:v>
                </c:pt>
                <c:pt idx="242">
                  <c:v>2.0252357787916599E-5</c:v>
                </c:pt>
                <c:pt idx="243">
                  <c:v>1.9746928985130315E-5</c:v>
                </c:pt>
                <c:pt idx="244">
                  <c:v>1.9254119582758425E-5</c:v>
                </c:pt>
                <c:pt idx="245">
                  <c:v>1.8773614424393882E-5</c:v>
                </c:pt>
                <c:pt idx="246">
                  <c:v>1.8305105360229799E-5</c:v>
                </c:pt>
                <c:pt idx="247">
                  <c:v>1.7848292938642089E-5</c:v>
                </c:pt>
                <c:pt idx="248">
                  <c:v>1.7402884304811364E-5</c:v>
                </c:pt>
                <c:pt idx="249">
                  <c:v>1.6968594604000603E-5</c:v>
                </c:pt>
                <c:pt idx="250">
                  <c:v>1.6545145836093823E-5</c:v>
                </c:pt>
                <c:pt idx="251">
                  <c:v>1.6132267162804331E-5</c:v>
                </c:pt>
                <c:pt idx="252">
                  <c:v>1.5729694425307972E-5</c:v>
                </c:pt>
                <c:pt idx="253">
                  <c:v>1.5337170073032296E-5</c:v>
                </c:pt>
                <c:pt idx="254">
                  <c:v>1.4954443062075926E-5</c:v>
                </c:pt>
                <c:pt idx="255">
                  <c:v>1.4581268845171875E-5</c:v>
                </c:pt>
                <c:pt idx="256">
                  <c:v>1.4217408593034803E-5</c:v>
                </c:pt>
                <c:pt idx="257">
                  <c:v>1.3862629724397529E-5</c:v>
                </c:pt>
                <c:pt idx="258">
                  <c:v>1.3516705266136166E-5</c:v>
                </c:pt>
                <c:pt idx="259">
                  <c:v>1.3179414568559918E-5</c:v>
                </c:pt>
                <c:pt idx="260">
                  <c:v>1.2850541344846134E-5</c:v>
                </c:pt>
                <c:pt idx="261">
                  <c:v>1.2529876091634841E-5</c:v>
                </c:pt>
                <c:pt idx="262">
                  <c:v>1.2217213415405704E-5</c:v>
                </c:pt>
                <c:pt idx="263">
                  <c:v>1.1912353546273628E-5</c:v>
                </c:pt>
                <c:pt idx="264">
                  <c:v>1.1615101802735922E-5</c:v>
                </c:pt>
                <c:pt idx="265">
                  <c:v>1.1325268110708945E-5</c:v>
                </c:pt>
                <c:pt idx="266">
                  <c:v>1.1042667505353678E-5</c:v>
                </c:pt>
                <c:pt idx="267">
                  <c:v>1.0767119341092198E-5</c:v>
                </c:pt>
                <c:pt idx="268">
                  <c:v>1.0498447250398453E-5</c:v>
                </c:pt>
                <c:pt idx="269">
                  <c:v>1.0236479990865469E-5</c:v>
                </c:pt>
                <c:pt idx="270">
                  <c:v>9.9810498982539839E-6</c:v>
                </c:pt>
                <c:pt idx="271">
                  <c:v>9.7319941297093447E-6</c:v>
                </c:pt>
                <c:pt idx="272">
                  <c:v>9.4891532338966036E-6</c:v>
                </c:pt>
                <c:pt idx="273">
                  <c:v>9.2523722968963946E-6</c:v>
                </c:pt>
                <c:pt idx="274">
                  <c:v>9.0215000453004214E-6</c:v>
                </c:pt>
                <c:pt idx="275">
                  <c:v>8.7963888283962809E-6</c:v>
                </c:pt>
                <c:pt idx="276">
                  <c:v>8.5768952219726635E-6</c:v>
                </c:pt>
                <c:pt idx="277">
                  <c:v>8.3628786482379744E-6</c:v>
                </c:pt>
                <c:pt idx="278">
                  <c:v>8.1542024817570728E-6</c:v>
                </c:pt>
                <c:pt idx="279">
                  <c:v>7.9507336629583512E-6</c:v>
                </c:pt>
                <c:pt idx="280">
                  <c:v>7.7523421954934883E-6</c:v>
                </c:pt>
                <c:pt idx="281">
                  <c:v>7.5589009819519801E-6</c:v>
                </c:pt>
                <c:pt idx="282">
                  <c:v>7.3702871213911485E-6</c:v>
                </c:pt>
                <c:pt idx="283">
                  <c:v>7.1863794183200675E-6</c:v>
                </c:pt>
                <c:pt idx="284">
                  <c:v>7.0070610819837186E-6</c:v>
                </c:pt>
                <c:pt idx="285">
                  <c:v>6.8322170716401953E-6</c:v>
                </c:pt>
                <c:pt idx="286">
                  <c:v>6.6617360451803539E-6</c:v>
                </c:pt>
                <c:pt idx="287">
                  <c:v>6.4955091874567637E-6</c:v>
                </c:pt>
                <c:pt idx="288">
                  <c:v>6.3334298869557534E-6</c:v>
                </c:pt>
                <c:pt idx="289">
                  <c:v>6.1753951330714187E-6</c:v>
                </c:pt>
                <c:pt idx="290">
                  <c:v>6.0213038533100689E-6</c:v>
                </c:pt>
                <c:pt idx="291">
                  <c:v>5.8710574291629455E-6</c:v>
                </c:pt>
                <c:pt idx="292">
                  <c:v>5.7245601914439337E-6</c:v>
                </c:pt>
                <c:pt idx="293">
                  <c:v>5.5817183925771421E-6</c:v>
                </c:pt>
                <c:pt idx="294">
                  <c:v>5.4424408632573924E-6</c:v>
                </c:pt>
                <c:pt idx="295">
                  <c:v>5.3066387135996488E-6</c:v>
                </c:pt>
                <c:pt idx="296">
                  <c:v>5.1742251715950621E-6</c:v>
                </c:pt>
                <c:pt idx="297">
                  <c:v>5.0451157779650858E-6</c:v>
                </c:pt>
                <c:pt idx="298">
                  <c:v>4.9192280140166692E-6</c:v>
                </c:pt>
                <c:pt idx="299">
                  <c:v>4.7964813765426304E-6</c:v>
                </c:pt>
                <c:pt idx="300">
                  <c:v>4.6767976027109904E-6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466-4FA1-A4F0-DD34076B9B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013743"/>
        <c:axId val="823990223"/>
      </c:scatterChart>
      <c:valAx>
        <c:axId val="824013743"/>
        <c:scaling>
          <c:orientation val="minMax"/>
          <c:max val="3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6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</a:t>
                </a:r>
                <a:r>
                  <a:rPr lang="en-US" sz="16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[s]</a:t>
                </a:r>
                <a:endParaRPr lang="en-US" sz="1600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1270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23990223"/>
        <c:crossesAt val="-10000"/>
        <c:crossBetween val="midCat"/>
      </c:valAx>
      <c:valAx>
        <c:axId val="823990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Deflection, </a:t>
                </a:r>
                <a:r>
                  <a:rPr lang="en-US" sz="1600" i="1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δ_a</a:t>
                </a:r>
                <a:r>
                  <a:rPr lang="en-US" sz="16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[deg]</a:t>
                </a:r>
              </a:p>
            </c:rich>
          </c:tx>
          <c:layout>
            <c:manualLayout>
              <c:xMode val="edge"/>
              <c:yMode val="edge"/>
              <c:x val="2.4180634883555031E-2"/>
              <c:y val="0.234119632909925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1270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24013743"/>
        <c:crosses val="autoZero"/>
        <c:crossBetween val="midCat"/>
      </c:valAx>
      <c:spPr>
        <a:noFill/>
        <a:ln w="19050">
          <a:solidFill>
            <a:schemeClr val="tx1"/>
          </a:solidFill>
        </a:ln>
        <a:effectLst/>
      </c:spPr>
    </c:plotArea>
    <c:legend>
      <c:legendPos val="r"/>
      <c:legendEntry>
        <c:idx val="0"/>
        <c:txPr>
          <a:bodyPr rot="0" spcFirstLastPara="1" vertOverflow="ellipsis" vert="horz" wrap="square" anchor="ctr" anchorCtr="0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52176511381282031"/>
          <c:y val="0.54685365477958658"/>
          <c:w val="0.14761263461002883"/>
          <c:h val="0.11619004767261235"/>
        </c:manualLayout>
      </c:layout>
      <c:overlay val="0"/>
      <c:spPr>
        <a:solidFill>
          <a:schemeClr val="bg1"/>
        </a:solidFill>
        <a:ln w="19050">
          <a:solidFill>
            <a:schemeClr val="dk1"/>
          </a:solidFill>
        </a:ln>
        <a:effectLst/>
      </c:spPr>
      <c:txPr>
        <a:bodyPr rot="0" spcFirstLastPara="1" vertOverflow="ellipsis" vert="horz" wrap="square" anchor="ctr" anchorCtr="0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718956118566963"/>
          <c:y val="3.1849676898883975E-2"/>
          <c:w val="0.83826328154029006"/>
          <c:h val="0.79459397771748719"/>
        </c:manualLayout>
      </c:layout>
      <c:scatterChart>
        <c:scatterStyle val="lineMarker"/>
        <c:varyColors val="0"/>
        <c:ser>
          <c:idx val="1"/>
          <c:order val="0"/>
          <c:tx>
            <c:v>PID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chemeClr val="dk1"/>
                </a:solidFill>
              </a:ln>
              <a:effectLst/>
            </c:spPr>
          </c:marker>
          <c:xVal>
            <c:numRef>
              <c:f>Sheet1!$M$6:$M$306</c:f>
              <c:numCache>
                <c:formatCode>0.00</c:formatCode>
                <c:ptCount val="30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6.0000000000000005E-2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9.9999999999999992E-2</c:v>
                </c:pt>
                <c:pt idx="11">
                  <c:v>0.10999999999999999</c:v>
                </c:pt>
                <c:pt idx="12">
                  <c:v>0.11999999999999998</c:v>
                </c:pt>
                <c:pt idx="13">
                  <c:v>0.12999999999999998</c:v>
                </c:pt>
                <c:pt idx="14">
                  <c:v>0.13999999999999999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0.18000000000000002</c:v>
                </c:pt>
                <c:pt idx="19">
                  <c:v>0.19000000000000003</c:v>
                </c:pt>
                <c:pt idx="20">
                  <c:v>0.20000000000000004</c:v>
                </c:pt>
                <c:pt idx="21">
                  <c:v>0.21000000000000005</c:v>
                </c:pt>
                <c:pt idx="22">
                  <c:v>0.22000000000000006</c:v>
                </c:pt>
                <c:pt idx="23">
                  <c:v>0.23000000000000007</c:v>
                </c:pt>
                <c:pt idx="24">
                  <c:v>0.24000000000000007</c:v>
                </c:pt>
                <c:pt idx="25">
                  <c:v>0.25000000000000006</c:v>
                </c:pt>
                <c:pt idx="26">
                  <c:v>0.26000000000000006</c:v>
                </c:pt>
                <c:pt idx="27">
                  <c:v>0.27000000000000007</c:v>
                </c:pt>
                <c:pt idx="28">
                  <c:v>0.28000000000000008</c:v>
                </c:pt>
                <c:pt idx="29">
                  <c:v>0.29000000000000009</c:v>
                </c:pt>
                <c:pt idx="30">
                  <c:v>0.3000000000000001</c:v>
                </c:pt>
                <c:pt idx="31">
                  <c:v>0.31000000000000011</c:v>
                </c:pt>
                <c:pt idx="32">
                  <c:v>0.32000000000000012</c:v>
                </c:pt>
                <c:pt idx="33">
                  <c:v>0.33000000000000013</c:v>
                </c:pt>
                <c:pt idx="34">
                  <c:v>0.34000000000000014</c:v>
                </c:pt>
                <c:pt idx="35">
                  <c:v>0.35000000000000014</c:v>
                </c:pt>
                <c:pt idx="36">
                  <c:v>0.36000000000000015</c:v>
                </c:pt>
                <c:pt idx="37">
                  <c:v>0.37000000000000016</c:v>
                </c:pt>
                <c:pt idx="38">
                  <c:v>0.38000000000000017</c:v>
                </c:pt>
                <c:pt idx="39">
                  <c:v>0.39000000000000018</c:v>
                </c:pt>
                <c:pt idx="40">
                  <c:v>0.40000000000000019</c:v>
                </c:pt>
                <c:pt idx="41">
                  <c:v>0.4100000000000002</c:v>
                </c:pt>
                <c:pt idx="42">
                  <c:v>0.42000000000000021</c:v>
                </c:pt>
                <c:pt idx="43">
                  <c:v>0.43000000000000022</c:v>
                </c:pt>
                <c:pt idx="44">
                  <c:v>0.44000000000000022</c:v>
                </c:pt>
                <c:pt idx="45">
                  <c:v>0.45000000000000023</c:v>
                </c:pt>
                <c:pt idx="46">
                  <c:v>0.46000000000000024</c:v>
                </c:pt>
                <c:pt idx="47">
                  <c:v>0.47000000000000025</c:v>
                </c:pt>
                <c:pt idx="48">
                  <c:v>0.48000000000000026</c:v>
                </c:pt>
                <c:pt idx="49">
                  <c:v>0.49000000000000027</c:v>
                </c:pt>
                <c:pt idx="50">
                  <c:v>0.50000000000000022</c:v>
                </c:pt>
                <c:pt idx="51">
                  <c:v>0.51000000000000023</c:v>
                </c:pt>
                <c:pt idx="52">
                  <c:v>0.52000000000000024</c:v>
                </c:pt>
                <c:pt idx="53">
                  <c:v>0.53000000000000025</c:v>
                </c:pt>
                <c:pt idx="54">
                  <c:v>0.54000000000000026</c:v>
                </c:pt>
                <c:pt idx="55">
                  <c:v>0.55000000000000027</c:v>
                </c:pt>
                <c:pt idx="56">
                  <c:v>0.56000000000000028</c:v>
                </c:pt>
                <c:pt idx="57">
                  <c:v>0.57000000000000028</c:v>
                </c:pt>
                <c:pt idx="58">
                  <c:v>0.58000000000000029</c:v>
                </c:pt>
                <c:pt idx="59">
                  <c:v>0.5900000000000003</c:v>
                </c:pt>
                <c:pt idx="60">
                  <c:v>0.60000000000000031</c:v>
                </c:pt>
                <c:pt idx="61">
                  <c:v>0.61000000000000032</c:v>
                </c:pt>
                <c:pt idx="62">
                  <c:v>0.62000000000000033</c:v>
                </c:pt>
                <c:pt idx="63">
                  <c:v>0.63000000000000034</c:v>
                </c:pt>
                <c:pt idx="64">
                  <c:v>0.64000000000000035</c:v>
                </c:pt>
                <c:pt idx="65">
                  <c:v>0.65000000000000036</c:v>
                </c:pt>
                <c:pt idx="66">
                  <c:v>0.66000000000000036</c:v>
                </c:pt>
                <c:pt idx="67">
                  <c:v>0.67000000000000037</c:v>
                </c:pt>
                <c:pt idx="68">
                  <c:v>0.68000000000000038</c:v>
                </c:pt>
                <c:pt idx="69">
                  <c:v>0.69000000000000039</c:v>
                </c:pt>
                <c:pt idx="70">
                  <c:v>0.7000000000000004</c:v>
                </c:pt>
                <c:pt idx="71">
                  <c:v>0.71000000000000041</c:v>
                </c:pt>
                <c:pt idx="72">
                  <c:v>0.72000000000000042</c:v>
                </c:pt>
                <c:pt idx="73">
                  <c:v>0.73000000000000043</c:v>
                </c:pt>
                <c:pt idx="74">
                  <c:v>0.74000000000000044</c:v>
                </c:pt>
                <c:pt idx="75">
                  <c:v>0.75000000000000044</c:v>
                </c:pt>
                <c:pt idx="76">
                  <c:v>0.76000000000000045</c:v>
                </c:pt>
                <c:pt idx="77">
                  <c:v>0.77000000000000046</c:v>
                </c:pt>
                <c:pt idx="78">
                  <c:v>0.78000000000000047</c:v>
                </c:pt>
                <c:pt idx="79">
                  <c:v>0.79000000000000048</c:v>
                </c:pt>
                <c:pt idx="80">
                  <c:v>0.80000000000000049</c:v>
                </c:pt>
                <c:pt idx="81">
                  <c:v>0.8100000000000005</c:v>
                </c:pt>
                <c:pt idx="82">
                  <c:v>0.82000000000000051</c:v>
                </c:pt>
                <c:pt idx="83">
                  <c:v>0.83000000000000052</c:v>
                </c:pt>
                <c:pt idx="84">
                  <c:v>0.84000000000000052</c:v>
                </c:pt>
                <c:pt idx="85">
                  <c:v>0.85000000000000053</c:v>
                </c:pt>
                <c:pt idx="86">
                  <c:v>0.86000000000000054</c:v>
                </c:pt>
                <c:pt idx="87">
                  <c:v>0.87000000000000055</c:v>
                </c:pt>
                <c:pt idx="88">
                  <c:v>0.88000000000000056</c:v>
                </c:pt>
                <c:pt idx="89">
                  <c:v>0.89000000000000057</c:v>
                </c:pt>
                <c:pt idx="90">
                  <c:v>0.90000000000000058</c:v>
                </c:pt>
                <c:pt idx="91">
                  <c:v>0.91000000000000059</c:v>
                </c:pt>
                <c:pt idx="92">
                  <c:v>0.9200000000000006</c:v>
                </c:pt>
                <c:pt idx="93">
                  <c:v>0.9300000000000006</c:v>
                </c:pt>
                <c:pt idx="94">
                  <c:v>0.94000000000000061</c:v>
                </c:pt>
                <c:pt idx="95">
                  <c:v>0.95000000000000062</c:v>
                </c:pt>
                <c:pt idx="96">
                  <c:v>0.96000000000000063</c:v>
                </c:pt>
                <c:pt idx="97">
                  <c:v>0.97000000000000064</c:v>
                </c:pt>
                <c:pt idx="98">
                  <c:v>0.98000000000000065</c:v>
                </c:pt>
                <c:pt idx="99">
                  <c:v>0.99000000000000066</c:v>
                </c:pt>
                <c:pt idx="100">
                  <c:v>1.0000000000000007</c:v>
                </c:pt>
                <c:pt idx="101">
                  <c:v>1.0100000000000007</c:v>
                </c:pt>
                <c:pt idx="102">
                  <c:v>1.0200000000000007</c:v>
                </c:pt>
                <c:pt idx="103">
                  <c:v>1.0300000000000007</c:v>
                </c:pt>
                <c:pt idx="104">
                  <c:v>1.0400000000000007</c:v>
                </c:pt>
                <c:pt idx="105">
                  <c:v>1.0500000000000007</c:v>
                </c:pt>
                <c:pt idx="106">
                  <c:v>1.0600000000000007</c:v>
                </c:pt>
                <c:pt idx="107">
                  <c:v>1.0700000000000007</c:v>
                </c:pt>
                <c:pt idx="108">
                  <c:v>1.0800000000000007</c:v>
                </c:pt>
                <c:pt idx="109">
                  <c:v>1.0900000000000007</c:v>
                </c:pt>
                <c:pt idx="110">
                  <c:v>1.1000000000000008</c:v>
                </c:pt>
                <c:pt idx="111">
                  <c:v>1.1100000000000008</c:v>
                </c:pt>
                <c:pt idx="112">
                  <c:v>1.1200000000000008</c:v>
                </c:pt>
                <c:pt idx="113">
                  <c:v>1.1300000000000008</c:v>
                </c:pt>
                <c:pt idx="114">
                  <c:v>1.1400000000000008</c:v>
                </c:pt>
                <c:pt idx="115">
                  <c:v>1.1500000000000008</c:v>
                </c:pt>
                <c:pt idx="116">
                  <c:v>1.1600000000000008</c:v>
                </c:pt>
                <c:pt idx="117">
                  <c:v>1.1700000000000008</c:v>
                </c:pt>
                <c:pt idx="118">
                  <c:v>1.1800000000000008</c:v>
                </c:pt>
                <c:pt idx="119">
                  <c:v>1.1900000000000008</c:v>
                </c:pt>
                <c:pt idx="120">
                  <c:v>1.2000000000000008</c:v>
                </c:pt>
                <c:pt idx="121">
                  <c:v>1.2100000000000009</c:v>
                </c:pt>
                <c:pt idx="122">
                  <c:v>1.2200000000000009</c:v>
                </c:pt>
                <c:pt idx="123">
                  <c:v>1.2300000000000009</c:v>
                </c:pt>
                <c:pt idx="124">
                  <c:v>1.2400000000000009</c:v>
                </c:pt>
                <c:pt idx="125">
                  <c:v>1.2500000000000009</c:v>
                </c:pt>
                <c:pt idx="126">
                  <c:v>1.2600000000000009</c:v>
                </c:pt>
                <c:pt idx="127">
                  <c:v>1.2700000000000009</c:v>
                </c:pt>
                <c:pt idx="128">
                  <c:v>1.2800000000000009</c:v>
                </c:pt>
                <c:pt idx="129">
                  <c:v>1.2900000000000009</c:v>
                </c:pt>
                <c:pt idx="130">
                  <c:v>1.3000000000000009</c:v>
                </c:pt>
                <c:pt idx="131">
                  <c:v>1.3100000000000009</c:v>
                </c:pt>
                <c:pt idx="132">
                  <c:v>1.320000000000001</c:v>
                </c:pt>
                <c:pt idx="133">
                  <c:v>1.330000000000001</c:v>
                </c:pt>
                <c:pt idx="134">
                  <c:v>1.340000000000001</c:v>
                </c:pt>
                <c:pt idx="135">
                  <c:v>1.350000000000001</c:v>
                </c:pt>
                <c:pt idx="136">
                  <c:v>1.360000000000001</c:v>
                </c:pt>
                <c:pt idx="137">
                  <c:v>1.370000000000001</c:v>
                </c:pt>
                <c:pt idx="138">
                  <c:v>1.380000000000001</c:v>
                </c:pt>
                <c:pt idx="139">
                  <c:v>1.390000000000001</c:v>
                </c:pt>
                <c:pt idx="140">
                  <c:v>1.400000000000001</c:v>
                </c:pt>
                <c:pt idx="141">
                  <c:v>1.410000000000001</c:v>
                </c:pt>
                <c:pt idx="142">
                  <c:v>1.420000000000001</c:v>
                </c:pt>
                <c:pt idx="143">
                  <c:v>1.430000000000001</c:v>
                </c:pt>
                <c:pt idx="144">
                  <c:v>1.4400000000000011</c:v>
                </c:pt>
                <c:pt idx="145">
                  <c:v>1.4500000000000011</c:v>
                </c:pt>
                <c:pt idx="146">
                  <c:v>1.4600000000000011</c:v>
                </c:pt>
                <c:pt idx="147">
                  <c:v>1.4700000000000011</c:v>
                </c:pt>
                <c:pt idx="148">
                  <c:v>1.4800000000000011</c:v>
                </c:pt>
                <c:pt idx="149">
                  <c:v>1.4900000000000011</c:v>
                </c:pt>
                <c:pt idx="150">
                  <c:v>1.5000000000000011</c:v>
                </c:pt>
                <c:pt idx="151">
                  <c:v>1.5100000000000011</c:v>
                </c:pt>
                <c:pt idx="152">
                  <c:v>1.5200000000000011</c:v>
                </c:pt>
                <c:pt idx="153">
                  <c:v>1.5300000000000011</c:v>
                </c:pt>
                <c:pt idx="154">
                  <c:v>1.5400000000000011</c:v>
                </c:pt>
                <c:pt idx="155">
                  <c:v>1.5500000000000012</c:v>
                </c:pt>
                <c:pt idx="156">
                  <c:v>1.5600000000000012</c:v>
                </c:pt>
                <c:pt idx="157">
                  <c:v>1.5700000000000012</c:v>
                </c:pt>
                <c:pt idx="158">
                  <c:v>1.5800000000000012</c:v>
                </c:pt>
                <c:pt idx="159">
                  <c:v>1.5900000000000012</c:v>
                </c:pt>
                <c:pt idx="160">
                  <c:v>1.6000000000000012</c:v>
                </c:pt>
                <c:pt idx="161">
                  <c:v>1.6100000000000012</c:v>
                </c:pt>
                <c:pt idx="162">
                  <c:v>1.6200000000000012</c:v>
                </c:pt>
                <c:pt idx="163">
                  <c:v>1.6300000000000012</c:v>
                </c:pt>
                <c:pt idx="164">
                  <c:v>1.6400000000000012</c:v>
                </c:pt>
                <c:pt idx="165">
                  <c:v>1.6500000000000012</c:v>
                </c:pt>
                <c:pt idx="166">
                  <c:v>1.6600000000000013</c:v>
                </c:pt>
                <c:pt idx="167">
                  <c:v>1.6700000000000013</c:v>
                </c:pt>
                <c:pt idx="168">
                  <c:v>1.6800000000000013</c:v>
                </c:pt>
                <c:pt idx="169">
                  <c:v>1.6900000000000013</c:v>
                </c:pt>
                <c:pt idx="170">
                  <c:v>1.7000000000000013</c:v>
                </c:pt>
                <c:pt idx="171">
                  <c:v>1.7100000000000013</c:v>
                </c:pt>
                <c:pt idx="172">
                  <c:v>1.7200000000000013</c:v>
                </c:pt>
                <c:pt idx="173">
                  <c:v>1.7300000000000013</c:v>
                </c:pt>
                <c:pt idx="174">
                  <c:v>1.7400000000000013</c:v>
                </c:pt>
                <c:pt idx="175">
                  <c:v>1.7500000000000013</c:v>
                </c:pt>
                <c:pt idx="176">
                  <c:v>1.7600000000000013</c:v>
                </c:pt>
                <c:pt idx="177">
                  <c:v>1.7700000000000014</c:v>
                </c:pt>
                <c:pt idx="178">
                  <c:v>1.7800000000000014</c:v>
                </c:pt>
                <c:pt idx="179">
                  <c:v>1.7900000000000014</c:v>
                </c:pt>
                <c:pt idx="180">
                  <c:v>1.8000000000000014</c:v>
                </c:pt>
                <c:pt idx="181">
                  <c:v>1.8100000000000014</c:v>
                </c:pt>
                <c:pt idx="182">
                  <c:v>1.8200000000000014</c:v>
                </c:pt>
                <c:pt idx="183">
                  <c:v>1.8300000000000014</c:v>
                </c:pt>
                <c:pt idx="184">
                  <c:v>1.8400000000000014</c:v>
                </c:pt>
                <c:pt idx="185">
                  <c:v>1.8500000000000014</c:v>
                </c:pt>
                <c:pt idx="186">
                  <c:v>1.8600000000000014</c:v>
                </c:pt>
                <c:pt idx="187">
                  <c:v>1.8700000000000014</c:v>
                </c:pt>
                <c:pt idx="188">
                  <c:v>1.8800000000000014</c:v>
                </c:pt>
                <c:pt idx="189">
                  <c:v>1.8900000000000015</c:v>
                </c:pt>
                <c:pt idx="190">
                  <c:v>1.9000000000000015</c:v>
                </c:pt>
                <c:pt idx="191">
                  <c:v>1.9100000000000015</c:v>
                </c:pt>
                <c:pt idx="192">
                  <c:v>1.9200000000000015</c:v>
                </c:pt>
                <c:pt idx="193">
                  <c:v>1.9300000000000015</c:v>
                </c:pt>
                <c:pt idx="194">
                  <c:v>1.9400000000000015</c:v>
                </c:pt>
                <c:pt idx="195">
                  <c:v>1.9500000000000015</c:v>
                </c:pt>
                <c:pt idx="196">
                  <c:v>1.9600000000000015</c:v>
                </c:pt>
                <c:pt idx="197">
                  <c:v>1.9700000000000015</c:v>
                </c:pt>
                <c:pt idx="198">
                  <c:v>1.9800000000000015</c:v>
                </c:pt>
                <c:pt idx="199">
                  <c:v>1.9900000000000015</c:v>
                </c:pt>
                <c:pt idx="200">
                  <c:v>2.0000000000000013</c:v>
                </c:pt>
                <c:pt idx="201">
                  <c:v>2.0100000000000011</c:v>
                </c:pt>
                <c:pt idx="202">
                  <c:v>2.0200000000000009</c:v>
                </c:pt>
                <c:pt idx="203">
                  <c:v>2.0300000000000007</c:v>
                </c:pt>
                <c:pt idx="204">
                  <c:v>2.0400000000000005</c:v>
                </c:pt>
                <c:pt idx="205">
                  <c:v>2.0500000000000003</c:v>
                </c:pt>
                <c:pt idx="206">
                  <c:v>2.06</c:v>
                </c:pt>
                <c:pt idx="207">
                  <c:v>2.0699999999999998</c:v>
                </c:pt>
                <c:pt idx="208">
                  <c:v>2.0799999999999996</c:v>
                </c:pt>
                <c:pt idx="209">
                  <c:v>2.0899999999999994</c:v>
                </c:pt>
                <c:pt idx="210">
                  <c:v>2.0999999999999992</c:v>
                </c:pt>
                <c:pt idx="211">
                  <c:v>2.109999999999999</c:v>
                </c:pt>
                <c:pt idx="212">
                  <c:v>2.1199999999999988</c:v>
                </c:pt>
                <c:pt idx="213">
                  <c:v>2.1299999999999986</c:v>
                </c:pt>
                <c:pt idx="214">
                  <c:v>2.1399999999999983</c:v>
                </c:pt>
                <c:pt idx="215">
                  <c:v>2.1499999999999981</c:v>
                </c:pt>
                <c:pt idx="216">
                  <c:v>2.1599999999999979</c:v>
                </c:pt>
                <c:pt idx="217">
                  <c:v>2.1699999999999977</c:v>
                </c:pt>
                <c:pt idx="218">
                  <c:v>2.1799999999999975</c:v>
                </c:pt>
                <c:pt idx="219">
                  <c:v>2.1899999999999973</c:v>
                </c:pt>
                <c:pt idx="220">
                  <c:v>2.1999999999999971</c:v>
                </c:pt>
                <c:pt idx="221">
                  <c:v>2.2099999999999969</c:v>
                </c:pt>
                <c:pt idx="222">
                  <c:v>2.2199999999999966</c:v>
                </c:pt>
                <c:pt idx="223">
                  <c:v>2.2299999999999964</c:v>
                </c:pt>
                <c:pt idx="224">
                  <c:v>2.2399999999999962</c:v>
                </c:pt>
                <c:pt idx="225">
                  <c:v>2.249999999999996</c:v>
                </c:pt>
                <c:pt idx="226">
                  <c:v>2.2599999999999958</c:v>
                </c:pt>
                <c:pt idx="227">
                  <c:v>2.2699999999999956</c:v>
                </c:pt>
                <c:pt idx="228">
                  <c:v>2.2799999999999954</c:v>
                </c:pt>
                <c:pt idx="229">
                  <c:v>2.2899999999999952</c:v>
                </c:pt>
                <c:pt idx="230">
                  <c:v>2.2999999999999949</c:v>
                </c:pt>
                <c:pt idx="231">
                  <c:v>2.3099999999999947</c:v>
                </c:pt>
                <c:pt idx="232">
                  <c:v>2.3199999999999945</c:v>
                </c:pt>
                <c:pt idx="233">
                  <c:v>2.3299999999999943</c:v>
                </c:pt>
                <c:pt idx="234">
                  <c:v>2.3399999999999941</c:v>
                </c:pt>
                <c:pt idx="235">
                  <c:v>2.3499999999999939</c:v>
                </c:pt>
                <c:pt idx="236">
                  <c:v>2.3599999999999937</c:v>
                </c:pt>
                <c:pt idx="237">
                  <c:v>2.3699999999999934</c:v>
                </c:pt>
                <c:pt idx="238">
                  <c:v>2.3799999999999932</c:v>
                </c:pt>
                <c:pt idx="239">
                  <c:v>2.389999999999993</c:v>
                </c:pt>
                <c:pt idx="240">
                  <c:v>2.3999999999999928</c:v>
                </c:pt>
                <c:pt idx="241">
                  <c:v>2.4099999999999926</c:v>
                </c:pt>
                <c:pt idx="242">
                  <c:v>2.4199999999999924</c:v>
                </c:pt>
                <c:pt idx="243">
                  <c:v>2.4299999999999922</c:v>
                </c:pt>
                <c:pt idx="244">
                  <c:v>2.439999999999992</c:v>
                </c:pt>
                <c:pt idx="245">
                  <c:v>2.4499999999999917</c:v>
                </c:pt>
                <c:pt idx="246">
                  <c:v>2.4599999999999915</c:v>
                </c:pt>
                <c:pt idx="247">
                  <c:v>2.4699999999999913</c:v>
                </c:pt>
                <c:pt idx="248">
                  <c:v>2.4799999999999911</c:v>
                </c:pt>
                <c:pt idx="249">
                  <c:v>2.4899999999999909</c:v>
                </c:pt>
                <c:pt idx="250">
                  <c:v>2.4999999999999907</c:v>
                </c:pt>
                <c:pt idx="251">
                  <c:v>2.5099999999999905</c:v>
                </c:pt>
                <c:pt idx="252">
                  <c:v>2.5199999999999902</c:v>
                </c:pt>
                <c:pt idx="253">
                  <c:v>2.52999999999999</c:v>
                </c:pt>
                <c:pt idx="254">
                  <c:v>2.5399999999999898</c:v>
                </c:pt>
                <c:pt idx="255">
                  <c:v>2.5499999999999896</c:v>
                </c:pt>
                <c:pt idx="256">
                  <c:v>2.5599999999999894</c:v>
                </c:pt>
                <c:pt idx="257">
                  <c:v>2.5699999999999892</c:v>
                </c:pt>
                <c:pt idx="258">
                  <c:v>2.579999999999989</c:v>
                </c:pt>
                <c:pt idx="259">
                  <c:v>2.5899999999999888</c:v>
                </c:pt>
                <c:pt idx="260">
                  <c:v>2.5999999999999885</c:v>
                </c:pt>
                <c:pt idx="261">
                  <c:v>2.6099999999999883</c:v>
                </c:pt>
                <c:pt idx="262">
                  <c:v>2.6199999999999881</c:v>
                </c:pt>
                <c:pt idx="263">
                  <c:v>2.6299999999999879</c:v>
                </c:pt>
                <c:pt idx="264">
                  <c:v>2.6399999999999877</c:v>
                </c:pt>
                <c:pt idx="265">
                  <c:v>2.6499999999999875</c:v>
                </c:pt>
                <c:pt idx="266">
                  <c:v>2.6599999999999873</c:v>
                </c:pt>
                <c:pt idx="267">
                  <c:v>2.6699999999999871</c:v>
                </c:pt>
                <c:pt idx="268">
                  <c:v>2.6799999999999868</c:v>
                </c:pt>
                <c:pt idx="269">
                  <c:v>2.6899999999999866</c:v>
                </c:pt>
                <c:pt idx="270">
                  <c:v>2.6999999999999864</c:v>
                </c:pt>
                <c:pt idx="271">
                  <c:v>2.7099999999999862</c:v>
                </c:pt>
                <c:pt idx="272">
                  <c:v>2.719999999999986</c:v>
                </c:pt>
                <c:pt idx="273">
                  <c:v>2.7299999999999858</c:v>
                </c:pt>
                <c:pt idx="274">
                  <c:v>2.7399999999999856</c:v>
                </c:pt>
                <c:pt idx="275">
                  <c:v>2.7499999999999853</c:v>
                </c:pt>
                <c:pt idx="276">
                  <c:v>2.7599999999999851</c:v>
                </c:pt>
                <c:pt idx="277">
                  <c:v>2.7699999999999849</c:v>
                </c:pt>
                <c:pt idx="278">
                  <c:v>2.7799999999999847</c:v>
                </c:pt>
                <c:pt idx="279">
                  <c:v>2.7899999999999845</c:v>
                </c:pt>
                <c:pt idx="280">
                  <c:v>2.7999999999999843</c:v>
                </c:pt>
                <c:pt idx="281">
                  <c:v>2.8099999999999841</c:v>
                </c:pt>
                <c:pt idx="282">
                  <c:v>2.8199999999999839</c:v>
                </c:pt>
                <c:pt idx="283">
                  <c:v>2.8299999999999836</c:v>
                </c:pt>
                <c:pt idx="284">
                  <c:v>2.8399999999999834</c:v>
                </c:pt>
                <c:pt idx="285">
                  <c:v>2.8499999999999832</c:v>
                </c:pt>
                <c:pt idx="286">
                  <c:v>2.859999999999983</c:v>
                </c:pt>
                <c:pt idx="287">
                  <c:v>2.8699999999999828</c:v>
                </c:pt>
                <c:pt idx="288">
                  <c:v>2.8799999999999826</c:v>
                </c:pt>
                <c:pt idx="289">
                  <c:v>2.8899999999999824</c:v>
                </c:pt>
                <c:pt idx="290">
                  <c:v>2.8999999999999821</c:v>
                </c:pt>
                <c:pt idx="291">
                  <c:v>2.9099999999999819</c:v>
                </c:pt>
                <c:pt idx="292">
                  <c:v>2.9199999999999817</c:v>
                </c:pt>
                <c:pt idx="293">
                  <c:v>2.9299999999999815</c:v>
                </c:pt>
                <c:pt idx="294">
                  <c:v>2.9399999999999813</c:v>
                </c:pt>
                <c:pt idx="295">
                  <c:v>2.9499999999999811</c:v>
                </c:pt>
                <c:pt idx="296">
                  <c:v>2.9599999999999809</c:v>
                </c:pt>
                <c:pt idx="297">
                  <c:v>2.9699999999999807</c:v>
                </c:pt>
                <c:pt idx="298">
                  <c:v>2.9799999999999804</c:v>
                </c:pt>
                <c:pt idx="299">
                  <c:v>2.9899999999999802</c:v>
                </c:pt>
                <c:pt idx="300">
                  <c:v>2.99999999999998</c:v>
                </c:pt>
              </c:numCache>
            </c:numRef>
          </c:xVal>
          <c:yVal>
            <c:numRef>
              <c:f>Sheet1!$V$6:$V$306</c:f>
              <c:numCache>
                <c:formatCode>General</c:formatCode>
                <c:ptCount val="301"/>
                <c:pt idx="0">
                  <c:v>0</c:v>
                </c:pt>
                <c:pt idx="1">
                  <c:v>0</c:v>
                </c:pt>
                <c:pt idx="2">
                  <c:v>3.9663153939347877E-2</c:v>
                </c:pt>
                <c:pt idx="3">
                  <c:v>0.11810616197299237</c:v>
                </c:pt>
                <c:pt idx="4">
                  <c:v>0.23446539537476152</c:v>
                </c:pt>
                <c:pt idx="5">
                  <c:v>0.38789645846084742</c:v>
                </c:pt>
                <c:pt idx="6">
                  <c:v>0.57757376026927065</c:v>
                </c:pt>
                <c:pt idx="7">
                  <c:v>0.80269009577805828</c:v>
                </c:pt>
                <c:pt idx="8">
                  <c:v>1.0624562364497074</c:v>
                </c:pt>
                <c:pt idx="9">
                  <c:v>1.3502566674013003</c:v>
                </c:pt>
                <c:pt idx="10">
                  <c:v>1.6386149720421899</c:v>
                </c:pt>
                <c:pt idx="11">
                  <c:v>1.9147363488506526</c:v>
                </c:pt>
                <c:pt idx="12">
                  <c:v>2.1753689136928478</c:v>
                </c:pt>
                <c:pt idx="13">
                  <c:v>2.418446127299815</c:v>
                </c:pt>
                <c:pt idx="14">
                  <c:v>2.6428879712993343</c:v>
                </c:pt>
                <c:pt idx="15">
                  <c:v>2.848914220254529</c:v>
                </c:pt>
                <c:pt idx="16">
                  <c:v>3.0373717097207455</c:v>
                </c:pt>
                <c:pt idx="17">
                  <c:v>3.2093235003309339</c:v>
                </c:pt>
                <c:pt idx="18">
                  <c:v>3.3659437194575315</c:v>
                </c:pt>
                <c:pt idx="19">
                  <c:v>3.5084437966736086</c:v>
                </c:pt>
                <c:pt idx="20">
                  <c:v>3.6380077037803993</c:v>
                </c:pt>
                <c:pt idx="21">
                  <c:v>3.7557598556041252</c:v>
                </c:pt>
                <c:pt idx="22">
                  <c:v>3.8627523622519031</c:v>
                </c:pt>
                <c:pt idx="23">
                  <c:v>3.9599594864794021</c:v>
                </c:pt>
                <c:pt idx="24">
                  <c:v>4.0482767825325006</c:v>
                </c:pt>
                <c:pt idx="25">
                  <c:v>4.1285235823812139</c:v>
                </c:pt>
                <c:pt idx="26">
                  <c:v>4.2014471634086883</c:v>
                </c:pt>
                <c:pt idx="27">
                  <c:v>4.2677276197093414</c:v>
                </c:pt>
                <c:pt idx="28">
                  <c:v>4.3279829888697989</c:v>
                </c:pt>
                <c:pt idx="29">
                  <c:v>4.3827743561962906</c:v>
                </c:pt>
                <c:pt idx="30">
                  <c:v>4.4326107593486475</c:v>
                </c:pt>
                <c:pt idx="31">
                  <c:v>4.4779538045542528</c:v>
                </c:pt>
                <c:pt idx="32">
                  <c:v>4.5192219573776615</c:v>
                </c:pt>
                <c:pt idx="33">
                  <c:v>4.5567944976236019</c:v>
                </c:pt>
                <c:pt idx="34">
                  <c:v>4.5910151439378097</c:v>
                </c:pt>
                <c:pt idx="35">
                  <c:v>4.6221953631480144</c:v>
                </c:pt>
                <c:pt idx="36">
                  <c:v>4.6506173840724818</c:v>
                </c:pt>
                <c:pt idx="37">
                  <c:v>4.6765369373853289</c:v>
                </c:pt>
                <c:pt idx="38">
                  <c:v>4.7001857434500094</c:v>
                </c:pt>
                <c:pt idx="39">
                  <c:v>4.7217737694516728</c:v>
                </c:pt>
                <c:pt idx="40">
                  <c:v>4.7414912760688246</c:v>
                </c:pt>
                <c:pt idx="41">
                  <c:v>4.759510672589558</c:v>
                </c:pt>
                <c:pt idx="42">
                  <c:v>4.7759881979538719</c:v>
                </c:pt>
                <c:pt idx="43">
                  <c:v>4.791065443779031</c:v>
                </c:pt>
                <c:pt idx="44">
                  <c:v>4.8048707340499508</c:v>
                </c:pt>
                <c:pt idx="45">
                  <c:v>4.8175203748585798</c:v>
                </c:pt>
                <c:pt idx="46">
                  <c:v>4.8291197863677793</c:v>
                </c:pt>
                <c:pt idx="47">
                  <c:v>4.839764528060174</c:v>
                </c:pt>
                <c:pt idx="48">
                  <c:v>4.8495412273097731</c:v>
                </c:pt>
                <c:pt idx="49">
                  <c:v>4.8585284203799484</c:v>
                </c:pt>
                <c:pt idx="50">
                  <c:v>4.8667973141003289</c:v>
                </c:pt>
                <c:pt idx="51">
                  <c:v>4.874412475701317</c:v>
                </c:pt>
                <c:pt idx="52">
                  <c:v>4.8814324575821662</c:v>
                </c:pt>
                <c:pt idx="53">
                  <c:v>4.8879103631509322</c:v>
                </c:pt>
                <c:pt idx="54">
                  <c:v>4.8938943592963859</c:v>
                </c:pt>
                <c:pt idx="55">
                  <c:v>4.8994281405278706</c:v>
                </c:pt>
                <c:pt idx="56">
                  <c:v>4.9045513493441666</c:v>
                </c:pt>
                <c:pt idx="57">
                  <c:v>4.9092999569621529</c:v>
                </c:pt>
                <c:pt idx="58">
                  <c:v>4.9137066081462804</c:v>
                </c:pt>
                <c:pt idx="59">
                  <c:v>4.9178009335268289</c:v>
                </c:pt>
                <c:pt idx="60">
                  <c:v>4.9216098324751565</c:v>
                </c:pt>
                <c:pt idx="61">
                  <c:v>4.925157729314555</c:v>
                </c:pt>
                <c:pt idx="62">
                  <c:v>4.9284668053830485</c:v>
                </c:pt>
                <c:pt idx="63">
                  <c:v>4.9315572092269315</c:v>
                </c:pt>
                <c:pt idx="64">
                  <c:v>4.9344472469887535</c:v>
                </c:pt>
                <c:pt idx="65">
                  <c:v>4.9371535548586376</c:v>
                </c:pt>
                <c:pt idx="66">
                  <c:v>4.9396912552814118</c:v>
                </c:pt>
                <c:pt idx="67">
                  <c:v>4.942074098452256</c:v>
                </c:pt>
                <c:pt idx="68">
                  <c:v>4.9443145904889043</c:v>
                </c:pt>
                <c:pt idx="69">
                  <c:v>4.9464241095374062</c:v>
                </c:pt>
                <c:pt idx="70">
                  <c:v>4.9484130109498015</c:v>
                </c:pt>
                <c:pt idx="71">
                  <c:v>4.9502907225646071</c:v>
                </c:pt>
                <c:pt idx="72">
                  <c:v>4.9520658310237087</c:v>
                </c:pt>
                <c:pt idx="73">
                  <c:v>4.9537461599711365</c:v>
                </c:pt>
                <c:pt idx="74">
                  <c:v>4.9553388408993841</c:v>
                </c:pt>
                <c:pt idx="75">
                  <c:v>4.9568503773366732</c:v>
                </c:pt>
                <c:pt idx="76">
                  <c:v>4.9582867030031226</c:v>
                </c:pt>
                <c:pt idx="77">
                  <c:v>4.9596532345044979</c:v>
                </c:pt>
                <c:pt idx="78">
                  <c:v>4.9609549190785671</c:v>
                </c:pt>
                <c:pt idx="79">
                  <c:v>4.962196277860456</c:v>
                </c:pt>
                <c:pt idx="80">
                  <c:v>4.9633814450894054</c:v>
                </c:pt>
                <c:pt idx="81">
                  <c:v>4.9645142036394496</c:v>
                </c:pt>
                <c:pt idx="82">
                  <c:v>4.9655980172204499</c:v>
                </c:pt>
                <c:pt idx="83">
                  <c:v>4.9666360595632169</c:v>
                </c:pt>
                <c:pt idx="84">
                  <c:v>4.967631240872862</c:v>
                </c:pt>
                <c:pt idx="85">
                  <c:v>4.9685862318076905</c:v>
                </c:pt>
                <c:pt idx="86">
                  <c:v>4.9695034852166833</c:v>
                </c:pt>
                <c:pt idx="87">
                  <c:v>4.9703852558466277</c:v>
                </c:pt>
                <c:pt idx="88">
                  <c:v>4.9712336182100305</c:v>
                </c:pt>
                <c:pt idx="89">
                  <c:v>4.9720504827869298</c:v>
                </c:pt>
                <c:pt idx="90">
                  <c:v>4.9728376107173871</c:v>
                </c:pt>
                <c:pt idx="91">
                  <c:v>4.9735966271266427</c:v>
                </c:pt>
                <c:pt idx="92">
                  <c:v>4.9743290332115411</c:v>
                </c:pt>
                <c:pt idx="93">
                  <c:v>4.9750362172046909</c:v>
                </c:pt>
                <c:pt idx="94">
                  <c:v>4.9757194643218483</c:v>
                </c:pt>
                <c:pt idx="95">
                  <c:v>4.9763799657880528</c:v>
                </c:pt>
                <c:pt idx="96">
                  <c:v>4.9770188270290578</c:v>
                </c:pt>
                <c:pt idx="97">
                  <c:v>4.9776370751064176</c:v>
                </c:pt>
                <c:pt idx="98">
                  <c:v>4.9782356654672135</c:v>
                </c:pt>
                <c:pt idx="99">
                  <c:v>4.9788154880727165</c:v>
                </c:pt>
                <c:pt idx="100">
                  <c:v>4.9793773729642163</c:v>
                </c:pt>
                <c:pt idx="101">
                  <c:v>4.9799220953187593</c:v>
                </c:pt>
                <c:pt idx="102">
                  <c:v>4.9804503800425692</c:v>
                </c:pt>
                <c:pt idx="103">
                  <c:v>4.9809629059454288</c:v>
                </c:pt>
                <c:pt idx="104">
                  <c:v>4.981460309535219</c:v>
                </c:pt>
                <c:pt idx="105">
                  <c:v>4.9819431884681142</c:v>
                </c:pt>
                <c:pt idx="106">
                  <c:v>4.9824121046866052</c:v>
                </c:pt>
                <c:pt idx="107">
                  <c:v>4.9828675872744821</c:v>
                </c:pt>
                <c:pt idx="108">
                  <c:v>4.9833101350551674</c:v>
                </c:pt>
                <c:pt idx="109">
                  <c:v>4.9837402189573066</c:v>
                </c:pt>
                <c:pt idx="110">
                  <c:v>4.9841582841692835</c:v>
                </c:pt>
                <c:pt idx="111">
                  <c:v>4.9845647521022753</c:v>
                </c:pt>
                <c:pt idx="112">
                  <c:v>4.9849600221796271</c:v>
                </c:pt>
                <c:pt idx="113">
                  <c:v>4.9853444734686558</c:v>
                </c:pt>
                <c:pt idx="114">
                  <c:v>4.9857184661694705</c:v>
                </c:pt>
                <c:pt idx="115">
                  <c:v>4.9860823429740382</c:v>
                </c:pt>
                <c:pt idx="116">
                  <c:v>4.9864364303074735</c:v>
                </c:pt>
                <c:pt idx="117">
                  <c:v>4.9867810394624055</c:v>
                </c:pt>
                <c:pt idx="118">
                  <c:v>4.9871164676362625</c:v>
                </c:pt>
                <c:pt idx="119">
                  <c:v>4.9874429988803968</c:v>
                </c:pt>
                <c:pt idx="120">
                  <c:v>4.9877609049691172</c:v>
                </c:pt>
                <c:pt idx="121">
                  <c:v>4.9880704461959615</c:v>
                </c:pt>
                <c:pt idx="122">
                  <c:v>4.9883718721038477</c:v>
                </c:pt>
                <c:pt idx="123">
                  <c:v>4.9886654221551119</c:v>
                </c:pt>
                <c:pt idx="124">
                  <c:v>4.9889513263468999</c:v>
                </c:pt>
                <c:pt idx="125">
                  <c:v>4.9892298057768452</c:v>
                </c:pt>
                <c:pt idx="126">
                  <c:v>4.9895010731635274</c:v>
                </c:pt>
                <c:pt idx="127">
                  <c:v>4.9897653333257708</c:v>
                </c:pt>
                <c:pt idx="128">
                  <c:v>4.9900227836244699</c:v>
                </c:pt>
                <c:pt idx="129">
                  <c:v>4.9902736143702899</c:v>
                </c:pt>
                <c:pt idx="130">
                  <c:v>4.9905180092002679</c:v>
                </c:pt>
                <c:pt idx="131">
                  <c:v>4.9907561454260723</c:v>
                </c:pt>
                <c:pt idx="132">
                  <c:v>4.9909881943564143</c:v>
                </c:pt>
                <c:pt idx="133">
                  <c:v>4.9912143215958773</c:v>
                </c:pt>
                <c:pt idx="134">
                  <c:v>4.991434687322216</c:v>
                </c:pt>
                <c:pt idx="135">
                  <c:v>4.9916494465439945</c:v>
                </c:pt>
                <c:pt idx="136">
                  <c:v>4.9918587493402571</c:v>
                </c:pt>
                <c:pt idx="137">
                  <c:v>4.9920627410837684</c:v>
                </c:pt>
                <c:pt idx="138">
                  <c:v>4.9922615626492179</c:v>
                </c:pt>
                <c:pt idx="139">
                  <c:v>4.9924553506076617</c:v>
                </c:pt>
                <c:pt idx="140">
                  <c:v>4.9926442374083493</c:v>
                </c:pt>
                <c:pt idx="141">
                  <c:v>4.9928283515489866</c:v>
                </c:pt>
                <c:pt idx="142">
                  <c:v>4.9930078177353847</c:v>
                </c:pt>
                <c:pt idx="143">
                  <c:v>4.9931827570313621</c:v>
                </c:pt>
                <c:pt idx="144">
                  <c:v>4.9933532869996888</c:v>
                </c:pt>
                <c:pt idx="145">
                  <c:v>4.9935195218347816</c:v>
                </c:pt>
                <c:pt idx="146">
                  <c:v>4.9936815724878123</c:v>
                </c:pt>
                <c:pt idx="147">
                  <c:v>4.9938395467848151</c:v>
                </c:pt>
                <c:pt idx="148">
                  <c:v>4.9939935495383398</c:v>
                </c:pt>
                <c:pt idx="149">
                  <c:v>4.9941436826531369</c:v>
                </c:pt>
                <c:pt idx="150">
                  <c:v>4.9942900452263261</c:v>
                </c:pt>
                <c:pt idx="151">
                  <c:v>4.994432733642463</c:v>
                </c:pt>
                <c:pt idx="152">
                  <c:v>4.9945718416638663</c:v>
                </c:pt>
                <c:pt idx="153">
                  <c:v>4.9947074605165591</c:v>
                </c:pt>
                <c:pt idx="154">
                  <c:v>4.9948396789721254</c:v>
                </c:pt>
                <c:pt idx="155">
                  <c:v>4.9949685834257735</c:v>
                </c:pt>
                <c:pt idx="156">
                  <c:v>4.9950942579708615</c:v>
                </c:pt>
                <c:pt idx="157">
                  <c:v>4.9952167844701254</c:v>
                </c:pt>
                <c:pt idx="158">
                  <c:v>4.9953362426238312</c:v>
                </c:pt>
                <c:pt idx="159">
                  <c:v>4.9954527100350417</c:v>
                </c:pt>
                <c:pt idx="160">
                  <c:v>4.9955662622721917</c:v>
                </c:pt>
                <c:pt idx="161">
                  <c:v>4.9956769729291324</c:v>
                </c:pt>
                <c:pt idx="162">
                  <c:v>4.995784913682801</c:v>
                </c:pt>
                <c:pt idx="163">
                  <c:v>4.9958901543486611</c:v>
                </c:pt>
                <c:pt idx="164">
                  <c:v>4.9959927629340379</c:v>
                </c:pt>
                <c:pt idx="165">
                  <c:v>4.9960928056894769</c:v>
                </c:pt>
                <c:pt idx="166">
                  <c:v>4.9961903471582252</c:v>
                </c:pt>
                <c:pt idx="167">
                  <c:v>4.9962854502239518</c:v>
                </c:pt>
                <c:pt idx="168">
                  <c:v>4.9963781761567905</c:v>
                </c:pt>
                <c:pt idx="169">
                  <c:v>4.9964685846577979</c:v>
                </c:pt>
                <c:pt idx="170">
                  <c:v>4.9965567339019019</c:v>
                </c:pt>
                <c:pt idx="171">
                  <c:v>4.9966426805794271</c:v>
                </c:pt>
                <c:pt idx="172">
                  <c:v>4.9967264799362523</c:v>
                </c:pt>
                <c:pt idx="173">
                  <c:v>4.9968081858126769</c:v>
                </c:pt>
                <c:pt idx="174">
                  <c:v>4.9968878506810457</c:v>
                </c:pt>
                <c:pt idx="175">
                  <c:v>4.9969655256822003</c:v>
                </c:pt>
                <c:pt idx="176">
                  <c:v>4.9970412606607972</c:v>
                </c:pt>
                <c:pt idx="177">
                  <c:v>4.9971151041995476</c:v>
                </c:pt>
                <c:pt idx="178">
                  <c:v>4.9971871036524247</c:v>
                </c:pt>
                <c:pt idx="179">
                  <c:v>4.9972573051768823</c:v>
                </c:pt>
                <c:pt idx="180">
                  <c:v>4.9973257537651179</c:v>
                </c:pt>
                <c:pt idx="181">
                  <c:v>4.9973924932744254</c:v>
                </c:pt>
                <c:pt idx="182">
                  <c:v>4.9974575664566698</c:v>
                </c:pt>
                <c:pt idx="183">
                  <c:v>4.9975210149869174</c:v>
                </c:pt>
                <c:pt idx="184">
                  <c:v>4.9975828794912509</c:v>
                </c:pt>
                <c:pt idx="185">
                  <c:v>4.9976431995738029</c:v>
                </c:pt>
                <c:pt idx="186">
                  <c:v>4.9977020138430346</c:v>
                </c:pt>
                <c:pt idx="187">
                  <c:v>4.9977593599372829</c:v>
                </c:pt>
                <c:pt idx="188">
                  <c:v>4.9978152745496063</c:v>
                </c:pt>
                <c:pt idx="189">
                  <c:v>4.9978697934519456</c:v>
                </c:pt>
                <c:pt idx="190">
                  <c:v>4.9979229515186345</c:v>
                </c:pt>
                <c:pt idx="191">
                  <c:v>4.9979747827492691</c:v>
                </c:pt>
                <c:pt idx="192">
                  <c:v>4.9980253202909637</c:v>
                </c:pt>
                <c:pt idx="193">
                  <c:v>4.9980745964600093</c:v>
                </c:pt>
                <c:pt idx="194">
                  <c:v>4.998122642762957</c:v>
                </c:pt>
                <c:pt idx="195">
                  <c:v>4.9981694899171423</c:v>
                </c:pt>
                <c:pt idx="196">
                  <c:v>4.998215167870665</c:v>
                </c:pt>
                <c:pt idx="197">
                  <c:v>4.9982597058218445</c:v>
                </c:pt>
                <c:pt idx="198">
                  <c:v>4.9983031322381661</c:v>
                </c:pt>
                <c:pt idx="199">
                  <c:v>4.9983454748747294</c:v>
                </c:pt>
                <c:pt idx="200">
                  <c:v>4.9983867607922203</c:v>
                </c:pt>
                <c:pt idx="201">
                  <c:v>4.9984270163744124</c:v>
                </c:pt>
                <c:pt idx="202">
                  <c:v>4.9984662673452167</c:v>
                </c:pt>
                <c:pt idx="203">
                  <c:v>4.9985045387852907</c:v>
                </c:pt>
                <c:pt idx="204">
                  <c:v>4.9985418551482201</c:v>
                </c:pt>
                <c:pt idx="205">
                  <c:v>4.9985782402762826</c:v>
                </c:pt>
                <c:pt idx="206">
                  <c:v>4.9986137174158101</c:v>
                </c:pt>
                <c:pt idx="207">
                  <c:v>4.9986483092321548</c:v>
                </c:pt>
                <c:pt idx="208">
                  <c:v>4.9986820378242731</c:v>
                </c:pt>
                <c:pt idx="209">
                  <c:v>4.9987149247389402</c:v>
                </c:pt>
                <c:pt idx="210">
                  <c:v>4.9987469909845972</c:v>
                </c:pt>
                <c:pt idx="211">
                  <c:v>4.9987782570448518</c:v>
                </c:pt>
                <c:pt idx="212">
                  <c:v>4.9988087428916312</c:v>
                </c:pt>
                <c:pt idx="213">
                  <c:v>4.9988384679980031</c:v>
                </c:pt>
                <c:pt idx="214">
                  <c:v>4.9988674513506739</c:v>
                </c:pt>
                <c:pt idx="215">
                  <c:v>4.9988957114621666</c:v>
                </c:pt>
                <c:pt idx="216">
                  <c:v>4.9989232663826924</c:v>
                </c:pt>
                <c:pt idx="217">
                  <c:v>4.9989501337117233</c:v>
                </c:pt>
                <c:pt idx="218">
                  <c:v>4.9989763306092705</c:v>
                </c:pt>
                <c:pt idx="219">
                  <c:v>4.99900187380688</c:v>
                </c:pt>
                <c:pt idx="220">
                  <c:v>4.999026779618351</c:v>
                </c:pt>
                <c:pt idx="221">
                  <c:v>4.9990510639501844</c:v>
                </c:pt>
                <c:pt idx="222">
                  <c:v>4.9990747423117652</c:v>
                </c:pt>
                <c:pt idx="223">
                  <c:v>4.9990978298252928</c:v>
                </c:pt>
                <c:pt idx="224">
                  <c:v>4.9991203412354617</c:v>
                </c:pt>
                <c:pt idx="225">
                  <c:v>4.9991422909188943</c:v>
                </c:pt>
                <c:pt idx="226">
                  <c:v>4.9991636928933421</c:v>
                </c:pt>
                <c:pt idx="227">
                  <c:v>4.9991845608266532</c:v>
                </c:pt>
                <c:pt idx="228">
                  <c:v>4.999204908045515</c:v>
                </c:pt>
                <c:pt idx="229">
                  <c:v>4.9992247475439786</c:v>
                </c:pt>
                <c:pt idx="230">
                  <c:v>4.9992440919917662</c:v>
                </c:pt>
                <c:pt idx="231">
                  <c:v>4.9992629537423765</c:v>
                </c:pt>
                <c:pt idx="232">
                  <c:v>4.9992813448409814</c:v>
                </c:pt>
                <c:pt idx="233">
                  <c:v>4.9992992770321267</c:v>
                </c:pt>
                <c:pt idx="234">
                  <c:v>4.9993167617672407</c:v>
                </c:pt>
                <c:pt idx="235">
                  <c:v>4.9993338102119527</c:v>
                </c:pt>
                <c:pt idx="236">
                  <c:v>4.999350433253233</c:v>
                </c:pt>
                <c:pt idx="237">
                  <c:v>4.9993666415063487</c:v>
                </c:pt>
                <c:pt idx="238">
                  <c:v>4.9993824453216469</c:v>
                </c:pt>
                <c:pt idx="239">
                  <c:v>4.9993978547911713</c:v>
                </c:pt>
                <c:pt idx="240">
                  <c:v>4.9994128797551101</c:v>
                </c:pt>
                <c:pt idx="241">
                  <c:v>4.9994275298080835</c:v>
                </c:pt>
                <c:pt idx="242">
                  <c:v>4.9994418143052748</c:v>
                </c:pt>
                <c:pt idx="243">
                  <c:v>4.9994557423684087</c:v>
                </c:pt>
                <c:pt idx="244">
                  <c:v>4.9994693228915761</c:v>
                </c:pt>
                <c:pt idx="245">
                  <c:v>4.999482564546919</c:v>
                </c:pt>
                <c:pt idx="246">
                  <c:v>4.9994954757901686</c:v>
                </c:pt>
                <c:pt idx="247">
                  <c:v>4.9995080648660499</c:v>
                </c:pt>
                <c:pt idx="248">
                  <c:v>4.9995203398135457</c:v>
                </c:pt>
                <c:pt idx="249">
                  <c:v>4.999532308471033</c:v>
                </c:pt>
                <c:pt idx="250">
                  <c:v>4.9995439784812898</c:v>
                </c:pt>
                <c:pt idx="251">
                  <c:v>4.9995553572963773</c:v>
                </c:pt>
                <c:pt idx="252">
                  <c:v>4.9995664521823997</c:v>
                </c:pt>
                <c:pt idx="253">
                  <c:v>4.9995772702241448</c:v>
                </c:pt>
                <c:pt idx="254">
                  <c:v>4.9995878183296094</c:v>
                </c:pt>
                <c:pt idx="255">
                  <c:v>4.9995981032344128</c:v>
                </c:pt>
                <c:pt idx="256">
                  <c:v>4.999608131506097</c:v>
                </c:pt>
                <c:pt idx="257">
                  <c:v>4.9996179095483217</c:v>
                </c:pt>
                <c:pt idx="258">
                  <c:v>4.9996274436049539</c:v>
                </c:pt>
                <c:pt idx="259">
                  <c:v>4.9996367397640578</c:v>
                </c:pt>
                <c:pt idx="260">
                  <c:v>4.999645803961779</c:v>
                </c:pt>
                <c:pt idx="261">
                  <c:v>4.9996546419861403</c:v>
                </c:pt>
                <c:pt idx="262">
                  <c:v>4.9996632594807346</c:v>
                </c:pt>
                <c:pt idx="263">
                  <c:v>4.9996716619483301</c:v>
                </c:pt>
                <c:pt idx="264">
                  <c:v>4.999679854754385</c:v>
                </c:pt>
                <c:pt idx="265">
                  <c:v>4.9996878431304737</c:v>
                </c:pt>
                <c:pt idx="266">
                  <c:v>4.9996956321776285</c:v>
                </c:pt>
                <c:pt idx="267">
                  <c:v>4.9997032268695971</c:v>
                </c:pt>
                <c:pt idx="268">
                  <c:v>4.9997106320560167</c:v>
                </c:pt>
                <c:pt idx="269">
                  <c:v>4.9997178524655137</c:v>
                </c:pt>
                <c:pt idx="270">
                  <c:v>4.9997248927087217</c:v>
                </c:pt>
                <c:pt idx="271">
                  <c:v>4.9997317572812277</c:v>
                </c:pt>
                <c:pt idx="272">
                  <c:v>4.9997384505664408</c:v>
                </c:pt>
                <c:pt idx="273">
                  <c:v>4.999744976838393</c:v>
                </c:pt>
                <c:pt idx="274">
                  <c:v>4.999751340264468</c:v>
                </c:pt>
                <c:pt idx="275">
                  <c:v>4.9997575449080616</c:v>
                </c:pt>
                <c:pt idx="276">
                  <c:v>4.9997635947311787</c:v>
                </c:pt>
                <c:pt idx="277">
                  <c:v>4.9997694935969612</c:v>
                </c:pt>
                <c:pt idx="278">
                  <c:v>4.9997752452721551</c:v>
                </c:pt>
                <c:pt idx="279">
                  <c:v>4.9997808534295176</c:v>
                </c:pt>
                <c:pt idx="280">
                  <c:v>4.9997863216501619</c:v>
                </c:pt>
                <c:pt idx="281">
                  <c:v>4.9997916534258415</c:v>
                </c:pt>
                <c:pt idx="282">
                  <c:v>4.9997968521611842</c:v>
                </c:pt>
                <c:pt idx="283">
                  <c:v>4.9998019211758615</c:v>
                </c:pt>
                <c:pt idx="284">
                  <c:v>4.9998068637067128</c:v>
                </c:pt>
                <c:pt idx="285">
                  <c:v>4.9998116829098089</c:v>
                </c:pt>
                <c:pt idx="286">
                  <c:v>4.9998163818624697</c:v>
                </c:pt>
                <c:pt idx="287">
                  <c:v>4.9998209635652291</c:v>
                </c:pt>
                <c:pt idx="288">
                  <c:v>4.9998254309437486</c:v>
                </c:pt>
                <c:pt idx="289">
                  <c:v>4.9998297868506887</c:v>
                </c:pt>
                <c:pt idx="290">
                  <c:v>4.9998340340675291</c:v>
                </c:pt>
                <c:pt idx="291">
                  <c:v>4.9998381753063441</c:v>
                </c:pt>
                <c:pt idx="292">
                  <c:v>4.9998422132115357</c:v>
                </c:pt>
                <c:pt idx="293">
                  <c:v>4.9998461503615212</c:v>
                </c:pt>
                <c:pt idx="294">
                  <c:v>4.9998499892703805</c:v>
                </c:pt>
                <c:pt idx="295">
                  <c:v>4.999853732389461</c:v>
                </c:pt>
                <c:pt idx="296">
                  <c:v>4.9998573821089431</c:v>
                </c:pt>
                <c:pt idx="297">
                  <c:v>4.9998609407593673</c:v>
                </c:pt>
                <c:pt idx="298">
                  <c:v>4.9998644106131209</c:v>
                </c:pt>
                <c:pt idx="299">
                  <c:v>4.9998677938858895</c:v>
                </c:pt>
                <c:pt idx="300">
                  <c:v>4.9998710927380721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CBC-4DF6-BEFD-F71FFB6BC8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013743"/>
        <c:axId val="823990223"/>
      </c:scatterChart>
      <c:valAx>
        <c:axId val="824013743"/>
        <c:scaling>
          <c:orientation val="minMax"/>
          <c:max val="3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6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</a:t>
                </a:r>
                <a:r>
                  <a:rPr lang="en-US" sz="16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[s]</a:t>
                </a:r>
                <a:endParaRPr lang="en-US" sz="1600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1270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23990223"/>
        <c:crosses val="autoZero"/>
        <c:crossBetween val="midCat"/>
      </c:valAx>
      <c:valAx>
        <c:axId val="823990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Bank</a:t>
                </a:r>
                <a:r>
                  <a:rPr lang="en-US" sz="16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Angle</a:t>
                </a:r>
                <a:r>
                  <a:rPr lang="en-US" sz="16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, </a:t>
                </a:r>
                <a:r>
                  <a:rPr lang="en-US" sz="1600" i="1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phi</a:t>
                </a:r>
                <a:r>
                  <a:rPr lang="en-US" sz="16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[deg]</a:t>
                </a:r>
              </a:p>
            </c:rich>
          </c:tx>
          <c:layout>
            <c:manualLayout>
              <c:xMode val="edge"/>
              <c:yMode val="edge"/>
              <c:x val="2.4180634883555031E-2"/>
              <c:y val="0.234119632909925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1270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24013743"/>
        <c:crosses val="autoZero"/>
        <c:crossBetween val="midCat"/>
      </c:valAx>
      <c:spPr>
        <a:noFill/>
        <a:ln w="19050">
          <a:solidFill>
            <a:schemeClr val="tx1"/>
          </a:solidFill>
        </a:ln>
        <a:effectLst/>
      </c:spPr>
    </c:plotArea>
    <c:legend>
      <c:legendPos val="r"/>
      <c:legendEntry>
        <c:idx val="0"/>
        <c:txPr>
          <a:bodyPr rot="0" spcFirstLastPara="1" vertOverflow="ellipsis" vert="horz" wrap="square" anchor="ctr" anchorCtr="0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52176511381282031"/>
          <c:y val="0.54685365477958658"/>
          <c:w val="0.14761263461002883"/>
          <c:h val="0.11619004767261235"/>
        </c:manualLayout>
      </c:layout>
      <c:overlay val="0"/>
      <c:spPr>
        <a:solidFill>
          <a:schemeClr val="bg1"/>
        </a:solidFill>
        <a:ln w="19050">
          <a:solidFill>
            <a:schemeClr val="dk1"/>
          </a:solidFill>
        </a:ln>
        <a:effectLst/>
      </c:spPr>
      <c:txPr>
        <a:bodyPr rot="0" spcFirstLastPara="1" vertOverflow="ellipsis" vert="horz" wrap="square" anchor="ctr" anchorCtr="0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19050</xdr:colOff>
      <xdr:row>4</xdr:row>
      <xdr:rowOff>157163</xdr:rowOff>
    </xdr:from>
    <xdr:to>
      <xdr:col>38</xdr:col>
      <xdr:colOff>609599</xdr:colOff>
      <xdr:row>23</xdr:row>
      <xdr:rowOff>66676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C6ED12-DFA9-CEFD-FFF2-EEA17CAAB4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0</xdr:colOff>
      <xdr:row>25</xdr:row>
      <xdr:rowOff>0</xdr:rowOff>
    </xdr:from>
    <xdr:to>
      <xdr:col>38</xdr:col>
      <xdr:colOff>590549</xdr:colOff>
      <xdr:row>49</xdr:row>
      <xdr:rowOff>84667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53F96D7-A781-4CAF-BD84-7B40D5C227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28</xdr:col>
      <xdr:colOff>74083</xdr:colOff>
      <xdr:row>50</xdr:row>
      <xdr:rowOff>158750</xdr:rowOff>
    </xdr:from>
    <xdr:to>
      <xdr:col>39</xdr:col>
      <xdr:colOff>50799</xdr:colOff>
      <xdr:row>75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DEF9451-D727-4538-B766-DBAD9CC2D8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0</xdr:colOff>
      <xdr:row>77</xdr:row>
      <xdr:rowOff>0</xdr:rowOff>
    </xdr:from>
    <xdr:to>
      <xdr:col>38</xdr:col>
      <xdr:colOff>590549</xdr:colOff>
      <xdr:row>101</xdr:row>
      <xdr:rowOff>95250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B62F94B-A70E-4011-911E-95F7BE8FA3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FF1008-16F5-4132-9473-BE3A1CA0BE49}">
  <dimension ref="B2:AM306"/>
  <sheetViews>
    <sheetView tabSelected="1" zoomScale="95" zoomScaleNormal="95" workbookViewId="0">
      <selection activeCell="E10" sqref="E10"/>
    </sheetView>
  </sheetViews>
  <sheetFormatPr defaultRowHeight="15" x14ac:dyDescent="0.25"/>
  <cols>
    <col min="2" max="2" width="17.5703125" customWidth="1"/>
    <col min="3" max="3" width="11.140625" customWidth="1"/>
    <col min="4" max="4" width="15.28515625" customWidth="1"/>
    <col min="6" max="7" width="0" hidden="1" customWidth="1"/>
    <col min="8" max="8" width="9.140625" hidden="1" customWidth="1"/>
    <col min="9" max="9" width="20.140625" hidden="1" customWidth="1"/>
    <col min="10" max="10" width="18.85546875" hidden="1" customWidth="1"/>
    <col min="11" max="11" width="19.85546875" hidden="1" customWidth="1"/>
    <col min="14" max="14" width="18.85546875" customWidth="1"/>
    <col min="22" max="22" width="18.85546875" customWidth="1"/>
    <col min="27" max="27" width="11" customWidth="1"/>
  </cols>
  <sheetData>
    <row r="2" spans="2:39" x14ac:dyDescent="0.25">
      <c r="H2" s="16" t="s">
        <v>14</v>
      </c>
      <c r="I2" s="16"/>
      <c r="J2" s="16"/>
      <c r="K2" s="16"/>
      <c r="M2" s="16" t="s">
        <v>30</v>
      </c>
      <c r="N2" s="17"/>
      <c r="O2" s="17"/>
      <c r="P2" s="17"/>
      <c r="Q2" s="17"/>
      <c r="R2" s="17"/>
      <c r="S2" s="17"/>
      <c r="U2" s="16" t="s">
        <v>31</v>
      </c>
      <c r="V2" s="17"/>
      <c r="W2" s="17"/>
      <c r="X2" s="17"/>
      <c r="Y2" s="17"/>
      <c r="Z2" s="17"/>
      <c r="AA2" s="17"/>
    </row>
    <row r="3" spans="2:39" x14ac:dyDescent="0.25">
      <c r="B3" s="16" t="s">
        <v>9</v>
      </c>
      <c r="C3" s="16"/>
      <c r="D3" s="16"/>
      <c r="E3" s="16"/>
      <c r="H3" s="16"/>
      <c r="I3" s="16"/>
      <c r="J3" s="16"/>
      <c r="K3" s="16"/>
      <c r="M3" s="17"/>
      <c r="N3" s="17"/>
      <c r="O3" s="17"/>
      <c r="P3" s="17"/>
      <c r="Q3" s="17"/>
      <c r="R3" s="17"/>
      <c r="S3" s="17"/>
      <c r="U3" s="17"/>
      <c r="V3" s="17"/>
      <c r="W3" s="17"/>
      <c r="X3" s="17"/>
      <c r="Y3" s="17"/>
      <c r="Z3" s="17"/>
      <c r="AA3" s="17"/>
      <c r="AC3" s="16" t="s">
        <v>28</v>
      </c>
      <c r="AD3" s="16"/>
      <c r="AE3" s="16"/>
      <c r="AF3" s="16"/>
      <c r="AG3" s="16"/>
      <c r="AH3" s="16"/>
      <c r="AI3" s="16"/>
      <c r="AJ3" s="16"/>
      <c r="AK3" s="16"/>
      <c r="AL3" s="16"/>
      <c r="AM3" s="16"/>
    </row>
    <row r="4" spans="2:39" ht="15.75" thickBot="1" x14ac:dyDescent="0.3">
      <c r="B4" s="22"/>
      <c r="C4" s="22"/>
      <c r="D4" s="22"/>
      <c r="E4" s="22"/>
      <c r="H4" s="19" t="s">
        <v>15</v>
      </c>
      <c r="I4" s="20" t="s">
        <v>16</v>
      </c>
      <c r="J4" s="20" t="s">
        <v>17</v>
      </c>
      <c r="K4" s="20" t="s">
        <v>18</v>
      </c>
      <c r="M4" s="19" t="s">
        <v>15</v>
      </c>
      <c r="N4" s="20" t="s">
        <v>25</v>
      </c>
      <c r="O4" s="21" t="s">
        <v>24</v>
      </c>
      <c r="P4" s="21" t="s">
        <v>26</v>
      </c>
      <c r="Q4" s="21" t="s">
        <v>27</v>
      </c>
      <c r="R4" s="23" t="s">
        <v>29</v>
      </c>
      <c r="S4" s="21" t="s">
        <v>12</v>
      </c>
      <c r="U4" s="19" t="s">
        <v>15</v>
      </c>
      <c r="V4" s="20" t="s">
        <v>32</v>
      </c>
      <c r="W4" s="21" t="s">
        <v>24</v>
      </c>
      <c r="X4" s="21" t="s">
        <v>26</v>
      </c>
      <c r="Y4" s="21" t="s">
        <v>27</v>
      </c>
      <c r="Z4" s="23" t="s">
        <v>33</v>
      </c>
      <c r="AA4" s="23" t="s">
        <v>35</v>
      </c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</row>
    <row r="5" spans="2:39" ht="15.75" thickTop="1" x14ac:dyDescent="0.25">
      <c r="B5" s="4" t="s">
        <v>0</v>
      </c>
      <c r="C5" s="10">
        <v>300</v>
      </c>
      <c r="D5" t="s">
        <v>5</v>
      </c>
      <c r="E5" s="5">
        <v>350</v>
      </c>
      <c r="H5" s="19"/>
      <c r="I5" s="20"/>
      <c r="J5" s="20"/>
      <c r="K5" s="20"/>
      <c r="M5" s="19"/>
      <c r="N5" s="20"/>
      <c r="O5" s="21"/>
      <c r="P5" s="21"/>
      <c r="Q5" s="21"/>
      <c r="R5" s="23"/>
      <c r="S5" s="21"/>
      <c r="U5" s="19"/>
      <c r="V5" s="20"/>
      <c r="W5" s="21"/>
      <c r="X5" s="21"/>
      <c r="Y5" s="21"/>
      <c r="Z5" s="23"/>
      <c r="AA5" s="23"/>
    </row>
    <row r="6" spans="2:39" x14ac:dyDescent="0.25">
      <c r="B6" s="4" t="s">
        <v>1</v>
      </c>
      <c r="C6" s="11">
        <v>30</v>
      </c>
      <c r="D6" t="s">
        <v>7</v>
      </c>
      <c r="E6" s="5">
        <v>2.37689218E-3</v>
      </c>
      <c r="H6" s="15">
        <f>0</f>
        <v>0</v>
      </c>
      <c r="I6" s="9">
        <f>DEGREES(-2*$E$5/$C$6*$C$9/$C$8*$C$18*(1-EXP(-$C$20*H6)))</f>
        <v>0</v>
      </c>
      <c r="J6">
        <f>0</f>
        <v>0</v>
      </c>
      <c r="K6">
        <f>0</f>
        <v>0</v>
      </c>
      <c r="M6" s="15">
        <f>0</f>
        <v>0</v>
      </c>
      <c r="N6">
        <f>0</f>
        <v>0</v>
      </c>
      <c r="O6">
        <f>AA6-N6</f>
        <v>60</v>
      </c>
      <c r="P6">
        <v>0</v>
      </c>
      <c r="Q6">
        <f>0</f>
        <v>0</v>
      </c>
      <c r="R6">
        <f>DEGREES($E$6*$C$5*$C$6^2*$E$5/(4*$C$7)*$C$8*RADIANS(N6)+$E$6*$C$5*$C$6*$E$5^2/(2*$C$7)*$C$9*RADIANS(S6))</f>
        <v>396.63153939347876</v>
      </c>
      <c r="S6">
        <f>MAX(MIN($C$34*O6+$C$35*P6+$C$36*Q6,21.5),-21.5)</f>
        <v>-21.5</v>
      </c>
      <c r="U6" s="15">
        <f>0</f>
        <v>0</v>
      </c>
      <c r="V6">
        <f>0</f>
        <v>0</v>
      </c>
      <c r="W6">
        <f>$E$9-V6</f>
        <v>5</v>
      </c>
      <c r="X6">
        <v>0</v>
      </c>
      <c r="Y6">
        <f>0</f>
        <v>0</v>
      </c>
      <c r="Z6">
        <f>N6</f>
        <v>0</v>
      </c>
      <c r="AA6">
        <f>$C$39*W6+$C$40*X6+$C$41*Y6</f>
        <v>60</v>
      </c>
    </row>
    <row r="7" spans="2:39" x14ac:dyDescent="0.25">
      <c r="B7" s="4" t="s">
        <v>2</v>
      </c>
      <c r="C7" s="11">
        <v>9496</v>
      </c>
      <c r="D7" t="s">
        <v>8</v>
      </c>
      <c r="E7" s="5">
        <v>50</v>
      </c>
      <c r="H7" s="15">
        <f>H6+$E$8</f>
        <v>0.01</v>
      </c>
      <c r="I7" s="9">
        <f t="shared" ref="I7:I70" si="0">DEGREES(-2*$E$5/$C$6*$C$9/$C$8*$C$18*(1-EXP(-$C$20*H7)))</f>
        <v>1.1011944423338693</v>
      </c>
      <c r="J7">
        <f>J6+$E$8*DEGREES($E$6*$C$5*$C$6^2*$E$5/(4*$C$7)*$C$8*RADIANS(J6) +$E$6*$C$5*$C$6*$E$5^2/(2*$C$7)*$C$9*$C$18)</f>
        <v>1.1135017734620629</v>
      </c>
      <c r="K7">
        <f>K6+$E$8*DEGREES($E$6*$C$5*$C$6^2*$E$5/(4*$C$7)*$C$8*RADIANS(K6)+$E$6*$C$5*$C$6*$E$5^2/(2*$C$7)*$C$9*RADIANS(-21.5))</f>
        <v>3.9663153939347877</v>
      </c>
      <c r="M7" s="15">
        <f>M6+$E$8</f>
        <v>0.01</v>
      </c>
      <c r="N7">
        <f>N6+$E$8*R6</f>
        <v>3.9663153939347877</v>
      </c>
      <c r="O7">
        <f t="shared" ref="O7:O70" si="1">AA7-N7</f>
        <v>56.033684606065215</v>
      </c>
      <c r="P7">
        <f>IF(ABS(S6)&gt;21, P6, P6+(O7+O6)*$E$8/2)</f>
        <v>0</v>
      </c>
      <c r="Q7">
        <f>(O7-O6)/$E$8</f>
        <v>-396.63153939347848</v>
      </c>
      <c r="R7">
        <f t="shared" ref="R7:R70" si="2">DEGREES($E$6*$C$5*$C$6^2*$E$5/(4*$C$7)*$C$8*RADIANS(N7)+$E$6*$C$5*$C$6*$E$5^2/(2*$C$7)*$C$9*RADIANS(S7))</f>
        <v>387.79854094296621</v>
      </c>
      <c r="S7">
        <f t="shared" ref="S7:S70" si="3">MAX(MIN($C$34*O7+$C$35*P7+$C$36*Q7,21.5),-21.5)</f>
        <v>-21.5</v>
      </c>
      <c r="U7" s="15">
        <f>U6+$E$8</f>
        <v>0.01</v>
      </c>
      <c r="V7">
        <f>V6+$E$8*Z6</f>
        <v>0</v>
      </c>
      <c r="W7">
        <f t="shared" ref="W7:W70" si="4">$E$9-V7</f>
        <v>5</v>
      </c>
      <c r="X7">
        <f>X6+(W7+W6)*$E$8/2</f>
        <v>0.05</v>
      </c>
      <c r="Y7">
        <f>(W7-W6)/$E$8</f>
        <v>0</v>
      </c>
      <c r="Z7">
        <f t="shared" ref="Z7:Z70" si="5">N7</f>
        <v>3.9663153939347877</v>
      </c>
      <c r="AA7">
        <f t="shared" ref="AA7:AA70" si="6">$C$39*W7+$C$40*X7+$C$41*Y7</f>
        <v>60</v>
      </c>
    </row>
    <row r="8" spans="2:39" x14ac:dyDescent="0.25">
      <c r="B8" s="4" t="s">
        <v>3</v>
      </c>
      <c r="C8" s="11">
        <v>-0.37659999999999999</v>
      </c>
      <c r="D8" t="s">
        <v>6</v>
      </c>
      <c r="E8" s="5">
        <v>0.01</v>
      </c>
      <c r="H8" s="15">
        <f t="shared" ref="H8:H71" si="7">H7+$E$8</f>
        <v>0.02</v>
      </c>
      <c r="I8" s="9">
        <f t="shared" si="0"/>
        <v>2.1781363006711958</v>
      </c>
      <c r="J8">
        <f>J7+$E$8*DEGREES($E$6*$C$5*$C$6^2*$E$5/(4*$C$7)*$C$8*RADIANS(J7) +$E$6*$C$5*$C$6*$E$5^2/(2*$C$7)*$C$9*$C$18)</f>
        <v>2.2022058229340624</v>
      </c>
      <c r="K8">
        <f t="shared" ref="K8:K20" si="8">K7+$E$8*DEGREES($E$6*$C$5*$C$6^2*$E$5/(4*$C$7)*$C$8*RADIANS(K7)+$E$6*$C$5*$C$6*$E$5^2/(2*$C$7)*$C$9*RADIANS(-21.5))</f>
        <v>7.8443008033644501</v>
      </c>
      <c r="M8" s="15">
        <f t="shared" ref="M8:M71" si="9">M7+$E$8</f>
        <v>0.02</v>
      </c>
      <c r="N8">
        <f>N7+$E$8*R7</f>
        <v>7.8443008033644501</v>
      </c>
      <c r="O8">
        <f t="shared" si="1"/>
        <v>49.696583652396008</v>
      </c>
      <c r="P8">
        <f t="shared" ref="P8:P71" si="10">IF(ABS(S7)&gt;21, P7, P7+(O8+O7)*$E$8/2)</f>
        <v>0</v>
      </c>
      <c r="Q8">
        <f t="shared" ref="Q8:Q71" si="11">(O8-O7)/$E$8</f>
        <v>-633.71009536692065</v>
      </c>
      <c r="R8">
        <f t="shared" si="2"/>
        <v>379.1622536812464</v>
      </c>
      <c r="S8">
        <f t="shared" si="3"/>
        <v>-21.5</v>
      </c>
      <c r="U8" s="15">
        <f t="shared" ref="U8:U71" si="12">U7+$E$8</f>
        <v>0.02</v>
      </c>
      <c r="V8">
        <f>V7+$E$8*Z7</f>
        <v>3.9663153939347877E-2</v>
      </c>
      <c r="W8">
        <f t="shared" si="4"/>
        <v>4.9603368460606525</v>
      </c>
      <c r="X8">
        <f t="shared" ref="X8:X71" si="13">X7+(W8+W7)*$E$8/2</f>
        <v>9.9801684230303264E-2</v>
      </c>
      <c r="Y8">
        <f t="shared" ref="Y8:Y71" si="14">(W8-W7)/$E$8</f>
        <v>-3.9663153939347495</v>
      </c>
      <c r="Z8">
        <f t="shared" si="5"/>
        <v>7.8443008033644501</v>
      </c>
      <c r="AA8">
        <f t="shared" si="6"/>
        <v>57.540884455760455</v>
      </c>
    </row>
    <row r="9" spans="2:39" x14ac:dyDescent="0.25">
      <c r="B9" s="4" t="s">
        <v>4</v>
      </c>
      <c r="C9" s="11">
        <v>-0.13370000000000001</v>
      </c>
      <c r="D9" t="s">
        <v>34</v>
      </c>
      <c r="E9" s="5">
        <v>5</v>
      </c>
      <c r="H9" s="15">
        <f t="shared" si="7"/>
        <v>0.03</v>
      </c>
      <c r="I9" s="9">
        <f t="shared" si="0"/>
        <v>3.2313597112261667</v>
      </c>
      <c r="J9">
        <f t="shared" ref="J9:J72" si="15">J8+$E$8*DEGREES($E$6*$C$5*$C$6^2*$E$5/(4*$C$7)*$C$8*RADIANS(J8) +$E$6*$C$5*$C$6*$E$5^2/(2*$C$7)*$C$9*$C$18)</f>
        <v>3.2666643946088141</v>
      </c>
      <c r="K9">
        <f t="shared" si="8"/>
        <v>11.635923340176914</v>
      </c>
      <c r="M9" s="15">
        <f t="shared" si="9"/>
        <v>0.03</v>
      </c>
      <c r="N9">
        <f t="shared" ref="N9:N72" si="16">N8+$E$8*R8</f>
        <v>11.635923340176914</v>
      </c>
      <c r="O9">
        <f t="shared" si="1"/>
        <v>43.02465231446493</v>
      </c>
      <c r="P9">
        <f t="shared" si="10"/>
        <v>0</v>
      </c>
      <c r="Q9">
        <f t="shared" si="11"/>
        <v>-667.19313379310779</v>
      </c>
      <c r="R9">
        <f t="shared" si="2"/>
        <v>370.71829684316754</v>
      </c>
      <c r="S9">
        <f t="shared" si="3"/>
        <v>-21.5</v>
      </c>
      <c r="U9" s="15">
        <f t="shared" si="12"/>
        <v>0.03</v>
      </c>
      <c r="V9">
        <f t="shared" ref="V9:V72" si="17">V8+$E$8*Z8</f>
        <v>0.11810616197299237</v>
      </c>
      <c r="W9">
        <f t="shared" si="4"/>
        <v>4.8818938380270076</v>
      </c>
      <c r="X9">
        <f t="shared" si="13"/>
        <v>0.14901283765074158</v>
      </c>
      <c r="Y9">
        <f t="shared" si="14"/>
        <v>-7.8443008033644901</v>
      </c>
      <c r="Z9">
        <f t="shared" si="5"/>
        <v>11.635923340176914</v>
      </c>
      <c r="AA9">
        <f t="shared" si="6"/>
        <v>54.660575654641846</v>
      </c>
    </row>
    <row r="10" spans="2:39" x14ac:dyDescent="0.25">
      <c r="B10" s="4"/>
      <c r="C10" s="11"/>
      <c r="E10" s="5"/>
      <c r="H10" s="15">
        <f t="shared" si="7"/>
        <v>0.04</v>
      </c>
      <c r="I10" s="9">
        <f t="shared" si="0"/>
        <v>4.2613870464563597</v>
      </c>
      <c r="J10">
        <f t="shared" si="15"/>
        <v>4.3074174361368307</v>
      </c>
      <c r="K10">
        <f t="shared" si="8"/>
        <v>15.34310630860859</v>
      </c>
      <c r="M10" s="15">
        <f t="shared" si="9"/>
        <v>0.04</v>
      </c>
      <c r="N10">
        <f t="shared" si="16"/>
        <v>15.34310630860859</v>
      </c>
      <c r="O10">
        <f t="shared" si="1"/>
        <v>36.025347276805817</v>
      </c>
      <c r="P10">
        <f t="shared" si="10"/>
        <v>0</v>
      </c>
      <c r="Q10">
        <f t="shared" si="11"/>
        <v>-699.93050376591123</v>
      </c>
      <c r="R10">
        <f t="shared" si="2"/>
        <v>362.46238722337353</v>
      </c>
      <c r="S10">
        <f t="shared" si="3"/>
        <v>-21.5</v>
      </c>
      <c r="U10" s="15">
        <f t="shared" si="12"/>
        <v>0.04</v>
      </c>
      <c r="V10">
        <f t="shared" si="17"/>
        <v>0.23446539537476152</v>
      </c>
      <c r="W10">
        <f t="shared" si="4"/>
        <v>4.7655346046252385</v>
      </c>
      <c r="X10">
        <f t="shared" si="13"/>
        <v>0.19724997986400281</v>
      </c>
      <c r="Y10">
        <f t="shared" si="14"/>
        <v>-11.635923340176912</v>
      </c>
      <c r="Z10">
        <f t="shared" si="5"/>
        <v>15.34310630860859</v>
      </c>
      <c r="AA10">
        <f t="shared" si="6"/>
        <v>51.368453585414407</v>
      </c>
    </row>
    <row r="11" spans="2:39" x14ac:dyDescent="0.25">
      <c r="B11" s="4"/>
      <c r="C11" s="11"/>
      <c r="E11" s="5"/>
      <c r="H11" s="15">
        <f t="shared" si="7"/>
        <v>0.05</v>
      </c>
      <c r="I11" s="9">
        <f t="shared" si="0"/>
        <v>5.2687291741464017</v>
      </c>
      <c r="J11">
        <f t="shared" si="15"/>
        <v>5.324992870515298</v>
      </c>
      <c r="K11">
        <f t="shared" si="8"/>
        <v>18.967730180842324</v>
      </c>
      <c r="M11" s="15">
        <f t="shared" si="9"/>
        <v>0.05</v>
      </c>
      <c r="N11">
        <f t="shared" si="16"/>
        <v>18.967730180842324</v>
      </c>
      <c r="O11">
        <f t="shared" si="1"/>
        <v>28.705959163323207</v>
      </c>
      <c r="P11">
        <f t="shared" si="10"/>
        <v>0</v>
      </c>
      <c r="Q11">
        <f t="shared" si="11"/>
        <v>-731.93881134826097</v>
      </c>
      <c r="R11">
        <f t="shared" si="2"/>
        <v>354.39033700364308</v>
      </c>
      <c r="S11">
        <f t="shared" si="3"/>
        <v>-21.5</v>
      </c>
      <c r="U11" s="15">
        <f t="shared" si="12"/>
        <v>0.05</v>
      </c>
      <c r="V11">
        <f t="shared" si="17"/>
        <v>0.38789645846084742</v>
      </c>
      <c r="W11">
        <f t="shared" si="4"/>
        <v>4.6121035415391525</v>
      </c>
      <c r="X11">
        <f t="shared" si="13"/>
        <v>0.24413817059482476</v>
      </c>
      <c r="Y11">
        <f t="shared" si="14"/>
        <v>-15.343106308608601</v>
      </c>
      <c r="Z11">
        <f t="shared" si="5"/>
        <v>18.967730180842324</v>
      </c>
      <c r="AA11">
        <f t="shared" si="6"/>
        <v>47.673689344165531</v>
      </c>
    </row>
    <row r="12" spans="2:39" x14ac:dyDescent="0.25">
      <c r="B12" s="4"/>
      <c r="C12" s="11"/>
      <c r="E12" s="5"/>
      <c r="H12" s="15">
        <f t="shared" si="7"/>
        <v>6.0000000000000005E-2</v>
      </c>
      <c r="I12" s="9">
        <f t="shared" si="0"/>
        <v>6.2538857107856218</v>
      </c>
      <c r="J12">
        <f t="shared" si="15"/>
        <v>6.3199068638775282</v>
      </c>
      <c r="K12">
        <f t="shared" si="8"/>
        <v>22.511633550878756</v>
      </c>
      <c r="M12" s="15">
        <f t="shared" si="9"/>
        <v>6.0000000000000005E-2</v>
      </c>
      <c r="N12">
        <f t="shared" si="16"/>
        <v>22.511633550878756</v>
      </c>
      <c r="O12">
        <f t="shared" si="1"/>
        <v>21.073616235468833</v>
      </c>
      <c r="P12">
        <f t="shared" si="10"/>
        <v>0</v>
      </c>
      <c r="Q12">
        <f t="shared" si="11"/>
        <v>-763.23429278543745</v>
      </c>
      <c r="R12">
        <f t="shared" si="2"/>
        <v>346.4980516286156</v>
      </c>
      <c r="S12">
        <f t="shared" si="3"/>
        <v>-21.5</v>
      </c>
      <c r="U12" s="15">
        <f t="shared" si="12"/>
        <v>6.0000000000000005E-2</v>
      </c>
      <c r="V12">
        <f t="shared" si="17"/>
        <v>0.57757376026927065</v>
      </c>
      <c r="W12">
        <f t="shared" si="4"/>
        <v>4.4224262397307292</v>
      </c>
      <c r="X12">
        <f t="shared" si="13"/>
        <v>0.28931081950117415</v>
      </c>
      <c r="Y12">
        <f t="shared" si="14"/>
        <v>-18.967730180842324</v>
      </c>
      <c r="Z12">
        <f t="shared" si="5"/>
        <v>22.511633550878756</v>
      </c>
      <c r="AA12">
        <f t="shared" si="6"/>
        <v>43.585249786347589</v>
      </c>
    </row>
    <row r="13" spans="2:39" x14ac:dyDescent="0.25">
      <c r="B13" s="4"/>
      <c r="C13" s="11"/>
      <c r="E13" s="5"/>
      <c r="H13" s="15">
        <f t="shared" si="7"/>
        <v>7.0000000000000007E-2</v>
      </c>
      <c r="I13" s="9">
        <f t="shared" si="0"/>
        <v>7.2173452693653273</v>
      </c>
      <c r="J13">
        <f t="shared" si="15"/>
        <v>7.2926640873187374</v>
      </c>
      <c r="K13">
        <f t="shared" si="8"/>
        <v>25.976614067164913</v>
      </c>
      <c r="M13" s="15">
        <f t="shared" si="9"/>
        <v>7.0000000000000007E-2</v>
      </c>
      <c r="N13">
        <f t="shared" si="16"/>
        <v>25.976614067164913</v>
      </c>
      <c r="O13">
        <f t="shared" si="1"/>
        <v>13.135288008058996</v>
      </c>
      <c r="P13">
        <f t="shared" si="10"/>
        <v>0</v>
      </c>
      <c r="Q13">
        <f t="shared" si="11"/>
        <v>-793.83282274098372</v>
      </c>
      <c r="R13">
        <f t="shared" si="2"/>
        <v>280.34290279943815</v>
      </c>
      <c r="S13">
        <f t="shared" si="3"/>
        <v>-18.332247788708155</v>
      </c>
      <c r="U13" s="15">
        <f t="shared" si="12"/>
        <v>7.0000000000000007E-2</v>
      </c>
      <c r="V13">
        <f t="shared" si="17"/>
        <v>0.80269009577805828</v>
      </c>
      <c r="W13">
        <f t="shared" si="4"/>
        <v>4.1973099042219415</v>
      </c>
      <c r="X13">
        <f t="shared" si="13"/>
        <v>0.33240950022093751</v>
      </c>
      <c r="Y13">
        <f t="shared" si="14"/>
        <v>-22.511633550878773</v>
      </c>
      <c r="Z13">
        <f t="shared" si="5"/>
        <v>25.976614067164913</v>
      </c>
      <c r="AA13">
        <f t="shared" si="6"/>
        <v>39.111902075223909</v>
      </c>
    </row>
    <row r="14" spans="2:39" ht="15.75" thickBot="1" x14ac:dyDescent="0.3">
      <c r="B14" s="6"/>
      <c r="C14" s="12"/>
      <c r="D14" s="7"/>
      <c r="E14" s="8"/>
      <c r="H14" s="15">
        <f t="shared" si="7"/>
        <v>0.08</v>
      </c>
      <c r="I14" s="9">
        <f t="shared" si="0"/>
        <v>8.159585701718596</v>
      </c>
      <c r="J14">
        <f t="shared" si="15"/>
        <v>8.2437579728909505</v>
      </c>
      <c r="K14">
        <f t="shared" si="8"/>
        <v>29.364429344453146</v>
      </c>
      <c r="M14" s="15">
        <f t="shared" si="9"/>
        <v>0.08</v>
      </c>
      <c r="N14">
        <f t="shared" si="16"/>
        <v>28.780043095159293</v>
      </c>
      <c r="O14">
        <f t="shared" si="1"/>
        <v>5.4821750338617719</v>
      </c>
      <c r="P14">
        <f t="shared" si="10"/>
        <v>9.3087315209603838E-2</v>
      </c>
      <c r="Q14">
        <f t="shared" si="11"/>
        <v>-765.31129741972245</v>
      </c>
      <c r="R14">
        <f t="shared" si="2"/>
        <v>5.5787368929667673</v>
      </c>
      <c r="S14">
        <f t="shared" si="3"/>
        <v>-3.7766736695743379</v>
      </c>
      <c r="U14" s="15">
        <f t="shared" si="12"/>
        <v>0.08</v>
      </c>
      <c r="V14">
        <f t="shared" si="17"/>
        <v>1.0624562364497074</v>
      </c>
      <c r="W14">
        <f t="shared" si="4"/>
        <v>3.9375437635502926</v>
      </c>
      <c r="X14">
        <f t="shared" si="13"/>
        <v>0.37308376855979869</v>
      </c>
      <c r="Y14">
        <f t="shared" si="14"/>
        <v>-25.976614067164892</v>
      </c>
      <c r="Z14">
        <f t="shared" si="5"/>
        <v>28.780043095159293</v>
      </c>
      <c r="AA14">
        <f t="shared" si="6"/>
        <v>34.262218129021065</v>
      </c>
    </row>
    <row r="15" spans="2:39" x14ac:dyDescent="0.25">
      <c r="H15" s="15">
        <f t="shared" si="7"/>
        <v>0.09</v>
      </c>
      <c r="I15" s="9">
        <f t="shared" si="0"/>
        <v>9.0810743355228745</v>
      </c>
      <c r="J15">
        <f t="shared" si="15"/>
        <v>9.1736709638968907</v>
      </c>
      <c r="K15">
        <f t="shared" si="8"/>
        <v>32.67679785535293</v>
      </c>
      <c r="M15" s="15">
        <f t="shared" si="9"/>
        <v>0.09</v>
      </c>
      <c r="N15">
        <f t="shared" si="16"/>
        <v>28.835830464088961</v>
      </c>
      <c r="O15">
        <f t="shared" si="1"/>
        <v>0.57106797951579225</v>
      </c>
      <c r="P15">
        <f t="shared" si="10"/>
        <v>0.12335353027649165</v>
      </c>
      <c r="Q15">
        <f t="shared" si="11"/>
        <v>-491.11070543459795</v>
      </c>
      <c r="R15">
        <f t="shared" si="2"/>
        <v>-122.36927832426841</v>
      </c>
      <c r="S15">
        <f t="shared" si="3"/>
        <v>3.1522034439319366</v>
      </c>
      <c r="U15" s="15">
        <f t="shared" si="12"/>
        <v>0.09</v>
      </c>
      <c r="V15">
        <f t="shared" si="17"/>
        <v>1.3502566674013003</v>
      </c>
      <c r="W15">
        <f t="shared" si="4"/>
        <v>3.6497433325986997</v>
      </c>
      <c r="X15">
        <f t="shared" si="13"/>
        <v>0.41102020404054362</v>
      </c>
      <c r="Y15">
        <f t="shared" si="14"/>
        <v>-28.780043095159289</v>
      </c>
      <c r="Z15">
        <f t="shared" si="5"/>
        <v>28.835830464088961</v>
      </c>
      <c r="AA15">
        <f t="shared" si="6"/>
        <v>29.406898443604753</v>
      </c>
    </row>
    <row r="16" spans="2:39" x14ac:dyDescent="0.25">
      <c r="B16" s="16" t="s">
        <v>10</v>
      </c>
      <c r="C16" s="16"/>
      <c r="D16" s="16"/>
      <c r="E16" s="16"/>
      <c r="H16" s="15">
        <f t="shared" si="7"/>
        <v>9.9999999999999992E-2</v>
      </c>
      <c r="I16" s="9">
        <f t="shared" si="0"/>
        <v>9.982268206082777</v>
      </c>
      <c r="J16">
        <f t="shared" si="15"/>
        <v>10.082874759609821</v>
      </c>
      <c r="K16">
        <f t="shared" si="8"/>
        <v>35.915399802027778</v>
      </c>
      <c r="M16" s="15">
        <f t="shared" si="9"/>
        <v>9.9999999999999992E-2</v>
      </c>
      <c r="N16">
        <f t="shared" si="16"/>
        <v>27.612137680846278</v>
      </c>
      <c r="O16">
        <f t="shared" si="1"/>
        <v>-1.6934325773970329</v>
      </c>
      <c r="P16">
        <f t="shared" si="10"/>
        <v>0.11774170728708545</v>
      </c>
      <c r="Q16">
        <f t="shared" si="11"/>
        <v>-226.4500556912825</v>
      </c>
      <c r="R16">
        <f t="shared" si="2"/>
        <v>-154.88811966267457</v>
      </c>
      <c r="S16">
        <f t="shared" si="3"/>
        <v>5.0626571752714637</v>
      </c>
      <c r="U16" s="15">
        <f t="shared" si="12"/>
        <v>9.9999999999999992E-2</v>
      </c>
      <c r="V16">
        <f t="shared" si="17"/>
        <v>1.6386149720421899</v>
      </c>
      <c r="W16">
        <f t="shared" si="4"/>
        <v>3.3613850279578101</v>
      </c>
      <c r="X16">
        <f t="shared" si="13"/>
        <v>0.44607584584332616</v>
      </c>
      <c r="Y16">
        <f t="shared" si="14"/>
        <v>-28.83583046408895</v>
      </c>
      <c r="Z16">
        <f t="shared" si="5"/>
        <v>27.612137680846278</v>
      </c>
      <c r="AA16">
        <f t="shared" si="6"/>
        <v>25.918705103449245</v>
      </c>
    </row>
    <row r="17" spans="2:27" ht="15.75" thickBot="1" x14ac:dyDescent="0.3">
      <c r="B17" s="16"/>
      <c r="C17" s="16"/>
      <c r="D17" s="16"/>
      <c r="E17" s="16"/>
      <c r="H17" s="15">
        <f t="shared" si="7"/>
        <v>0.10999999999999999</v>
      </c>
      <c r="I17" s="9">
        <f t="shared" si="0"/>
        <v>10.863614283008154</v>
      </c>
      <c r="J17">
        <f t="shared" si="15"/>
        <v>10.971830554543455</v>
      </c>
      <c r="K17">
        <f t="shared" si="8"/>
        <v>39.081877968479425</v>
      </c>
      <c r="M17" s="15">
        <f t="shared" si="9"/>
        <v>0.10999999999999999</v>
      </c>
      <c r="N17">
        <f t="shared" si="16"/>
        <v>26.063256484219533</v>
      </c>
      <c r="O17">
        <f t="shared" si="1"/>
        <v>-2.8461615108505107</v>
      </c>
      <c r="P17">
        <f t="shared" si="10"/>
        <v>9.5043736845847743E-2</v>
      </c>
      <c r="Q17">
        <f t="shared" si="11"/>
        <v>-115.27289334534778</v>
      </c>
      <c r="R17">
        <f t="shared" si="2"/>
        <v>-175.55351235227963</v>
      </c>
      <c r="S17">
        <f t="shared" si="3"/>
        <v>6.3698332709252607</v>
      </c>
      <c r="U17" s="15">
        <f t="shared" si="12"/>
        <v>0.10999999999999999</v>
      </c>
      <c r="V17">
        <f t="shared" si="17"/>
        <v>1.9147363488506526</v>
      </c>
      <c r="W17">
        <f t="shared" si="4"/>
        <v>3.0852636511493472</v>
      </c>
      <c r="X17">
        <f t="shared" si="13"/>
        <v>0.47830908923886195</v>
      </c>
      <c r="Y17">
        <f t="shared" si="14"/>
        <v>-27.612137680846292</v>
      </c>
      <c r="Z17">
        <f t="shared" si="5"/>
        <v>26.063256484219533</v>
      </c>
      <c r="AA17">
        <f t="shared" si="6"/>
        <v>23.217094973369022</v>
      </c>
    </row>
    <row r="18" spans="2:27" x14ac:dyDescent="0.25">
      <c r="B18" s="1" t="s">
        <v>11</v>
      </c>
      <c r="C18" s="13">
        <f>-C6/(2*E5)*C8/C9*RADIANS(E7)</f>
        <v>-0.1053463505130459</v>
      </c>
      <c r="D18" s="2"/>
      <c r="E18" s="3"/>
      <c r="H18" s="15">
        <f t="shared" si="7"/>
        <v>0.11999999999999998</v>
      </c>
      <c r="I18" s="9">
        <f t="shared" si="0"/>
        <v>11.725549691899872</v>
      </c>
      <c r="J18">
        <f t="shared" si="15"/>
        <v>11.84098927239333</v>
      </c>
      <c r="K18">
        <f t="shared" si="8"/>
        <v>42.177838553851615</v>
      </c>
      <c r="M18" s="15">
        <f t="shared" si="9"/>
        <v>0.11999999999999998</v>
      </c>
      <c r="N18">
        <f t="shared" si="16"/>
        <v>24.307721360696736</v>
      </c>
      <c r="O18">
        <f t="shared" si="1"/>
        <v>-3.4437765671206542</v>
      </c>
      <c r="P18">
        <f t="shared" si="10"/>
        <v>6.3594046455991926E-2</v>
      </c>
      <c r="Q18">
        <f t="shared" si="11"/>
        <v>-59.761505627014344</v>
      </c>
      <c r="R18">
        <f t="shared" si="2"/>
        <v>-186.3536960744803</v>
      </c>
      <c r="S18">
        <f t="shared" si="3"/>
        <v>7.1671979582314922</v>
      </c>
      <c r="U18" s="15">
        <f t="shared" si="12"/>
        <v>0.11999999999999998</v>
      </c>
      <c r="V18">
        <f t="shared" si="17"/>
        <v>2.1753689136928478</v>
      </c>
      <c r="W18">
        <f t="shared" si="4"/>
        <v>2.8246310863071522</v>
      </c>
      <c r="X18">
        <f t="shared" si="13"/>
        <v>0.5078585629261444</v>
      </c>
      <c r="Y18">
        <f t="shared" si="14"/>
        <v>-26.063256484219497</v>
      </c>
      <c r="Z18">
        <f t="shared" si="5"/>
        <v>24.307721360696736</v>
      </c>
      <c r="AA18">
        <f t="shared" si="6"/>
        <v>20.863944793576081</v>
      </c>
    </row>
    <row r="19" spans="2:27" x14ac:dyDescent="0.25">
      <c r="B19" s="4" t="s">
        <v>12</v>
      </c>
      <c r="C19" s="14">
        <f>DEGREES(C18)</f>
        <v>-6.0359012715033646</v>
      </c>
      <c r="E19" s="5"/>
      <c r="H19" s="15">
        <f t="shared" si="7"/>
        <v>0.12999999999999998</v>
      </c>
      <c r="I19" s="9">
        <f t="shared" si="0"/>
        <v>12.568501931153147</v>
      </c>
      <c r="J19">
        <f t="shared" si="15"/>
        <v>12.690791794768288</v>
      </c>
      <c r="K19">
        <f t="shared" si="8"/>
        <v>45.204851987176198</v>
      </c>
      <c r="M19" s="15">
        <f t="shared" si="9"/>
        <v>0.12999999999999998</v>
      </c>
      <c r="N19">
        <f t="shared" si="16"/>
        <v>22.444184399951933</v>
      </c>
      <c r="O19">
        <f t="shared" si="1"/>
        <v>-3.6193986078980735</v>
      </c>
      <c r="P19">
        <f t="shared" si="10"/>
        <v>2.8278170580898286E-2</v>
      </c>
      <c r="Q19">
        <f t="shared" si="11"/>
        <v>-17.562204077741939</v>
      </c>
      <c r="R19">
        <f t="shared" si="2"/>
        <v>-184.15595044324513</v>
      </c>
      <c r="S19">
        <f t="shared" si="3"/>
        <v>7.2730284036690751</v>
      </c>
      <c r="U19" s="15">
        <f t="shared" si="12"/>
        <v>0.12999999999999998</v>
      </c>
      <c r="V19">
        <f t="shared" si="17"/>
        <v>2.418446127299815</v>
      </c>
      <c r="W19">
        <f t="shared" si="4"/>
        <v>2.581553872700185</v>
      </c>
      <c r="X19">
        <f t="shared" si="13"/>
        <v>0.53488948772118106</v>
      </c>
      <c r="Y19">
        <f t="shared" si="14"/>
        <v>-24.307721360696721</v>
      </c>
      <c r="Z19">
        <f t="shared" si="5"/>
        <v>22.444184399951933</v>
      </c>
      <c r="AA19">
        <f t="shared" si="6"/>
        <v>18.824785792053859</v>
      </c>
    </row>
    <row r="20" spans="2:27" ht="15.75" thickBot="1" x14ac:dyDescent="0.3">
      <c r="B20" s="4" t="s">
        <v>13</v>
      </c>
      <c r="C20" s="11">
        <f>-E6*C5*C6^2*E5/(4*C7)*C8</f>
        <v>2.2270035469241258</v>
      </c>
      <c r="E20" s="5"/>
      <c r="H20" s="15">
        <f t="shared" si="7"/>
        <v>0.13999999999999999</v>
      </c>
      <c r="I20" s="9">
        <f t="shared" si="0"/>
        <v>13.392889083986047</v>
      </c>
      <c r="J20">
        <f t="shared" si="15"/>
        <v>13.521669184828104</v>
      </c>
      <c r="K20" s="7">
        <f t="shared" si="8"/>
        <v>48.164453723974773</v>
      </c>
      <c r="M20" s="15">
        <f t="shared" si="9"/>
        <v>0.13999999999999999</v>
      </c>
      <c r="N20">
        <f t="shared" si="16"/>
        <v>20.602624895519483</v>
      </c>
      <c r="O20">
        <f t="shared" si="1"/>
        <v>-3.5393727510874555</v>
      </c>
      <c r="P20">
        <f t="shared" si="10"/>
        <v>-7.5156862140293573E-3</v>
      </c>
      <c r="Q20">
        <f t="shared" si="11"/>
        <v>8.0025856810618023</v>
      </c>
      <c r="R20">
        <f t="shared" si="2"/>
        <v>-175.68759488978384</v>
      </c>
      <c r="S20">
        <f t="shared" si="3"/>
        <v>7.0362980764344396</v>
      </c>
      <c r="U20" s="15">
        <f t="shared" si="12"/>
        <v>0.13999999999999999</v>
      </c>
      <c r="V20">
        <f t="shared" si="17"/>
        <v>2.6428879712993343</v>
      </c>
      <c r="W20">
        <f t="shared" si="4"/>
        <v>2.3571120287006657</v>
      </c>
      <c r="X20">
        <f t="shared" si="13"/>
        <v>0.55958281722818537</v>
      </c>
      <c r="Y20">
        <f t="shared" si="14"/>
        <v>-22.444184399951926</v>
      </c>
      <c r="Z20">
        <f t="shared" si="5"/>
        <v>20.602624895519483</v>
      </c>
      <c r="AA20">
        <f t="shared" si="6"/>
        <v>17.063252144432028</v>
      </c>
    </row>
    <row r="21" spans="2:27" x14ac:dyDescent="0.25">
      <c r="B21" s="4"/>
      <c r="C21" s="11"/>
      <c r="E21" s="5"/>
      <c r="H21" s="15">
        <f t="shared" si="7"/>
        <v>0.15</v>
      </c>
      <c r="I21" s="9">
        <f t="shared" si="0"/>
        <v>14.199120025798328</v>
      </c>
      <c r="J21">
        <f t="shared" si="15"/>
        <v>14.334042905940699</v>
      </c>
      <c r="K21">
        <f t="shared" ref="K21:K84" si="18">K20+$E$8*DEGREES($E$6*$C$5*$C$6^2*$E$5/(4*$C$7)*$C$8*RADIANS(K20) +$E$6*$C$5*$C$6*$E$5^2/(2*$C$7)*$C$9*$C$18)</f>
        <v>48.205331404647289</v>
      </c>
      <c r="M21" s="15">
        <f t="shared" si="9"/>
        <v>0.15</v>
      </c>
      <c r="N21">
        <f t="shared" si="16"/>
        <v>18.845748946621644</v>
      </c>
      <c r="O21">
        <f t="shared" si="1"/>
        <v>-3.334032037435728</v>
      </c>
      <c r="P21">
        <f t="shared" si="10"/>
        <v>-4.1882710156645277E-2</v>
      </c>
      <c r="Q21">
        <f t="shared" si="11"/>
        <v>20.534071365172757</v>
      </c>
      <c r="R21">
        <f t="shared" si="2"/>
        <v>-165.05698856027885</v>
      </c>
      <c r="S21">
        <f t="shared" si="3"/>
        <v>6.672136912002955</v>
      </c>
      <c r="U21" s="15">
        <f t="shared" si="12"/>
        <v>0.15</v>
      </c>
      <c r="V21">
        <f t="shared" si="17"/>
        <v>2.848914220254529</v>
      </c>
      <c r="W21">
        <f t="shared" si="4"/>
        <v>2.151085779745471</v>
      </c>
      <c r="X21">
        <f t="shared" si="13"/>
        <v>0.58212380627041604</v>
      </c>
      <c r="Y21">
        <f t="shared" si="14"/>
        <v>-20.602624895519472</v>
      </c>
      <c r="Z21">
        <f t="shared" si="5"/>
        <v>18.845748946621644</v>
      </c>
      <c r="AA21">
        <f t="shared" si="6"/>
        <v>15.511716909185916</v>
      </c>
    </row>
    <row r="22" spans="2:27" x14ac:dyDescent="0.25">
      <c r="B22" s="4"/>
      <c r="C22" s="11"/>
      <c r="E22" s="5"/>
      <c r="H22" s="15">
        <f t="shared" si="7"/>
        <v>0.16</v>
      </c>
      <c r="I22" s="9">
        <f t="shared" si="0"/>
        <v>14.987594626963384</v>
      </c>
      <c r="J22">
        <f t="shared" si="15"/>
        <v>15.128325035469835</v>
      </c>
      <c r="K22">
        <f t="shared" si="18"/>
        <v>48.245298737921324</v>
      </c>
      <c r="M22" s="15">
        <f t="shared" si="9"/>
        <v>0.16</v>
      </c>
      <c r="N22">
        <f t="shared" si="16"/>
        <v>17.195179061018855</v>
      </c>
      <c r="O22">
        <f t="shared" si="1"/>
        <v>-3.0665140509786291</v>
      </c>
      <c r="P22">
        <f t="shared" si="10"/>
        <v>-7.3885440598717073E-2</v>
      </c>
      <c r="Q22">
        <f t="shared" si="11"/>
        <v>26.75179864570989</v>
      </c>
      <c r="R22">
        <f t="shared" si="2"/>
        <v>-153.31571483590872</v>
      </c>
      <c r="S22">
        <f t="shared" si="3"/>
        <v>6.2349373184937447</v>
      </c>
      <c r="U22" s="15">
        <f t="shared" si="12"/>
        <v>0.16</v>
      </c>
      <c r="V22">
        <f t="shared" si="17"/>
        <v>3.0373717097207455</v>
      </c>
      <c r="W22">
        <f t="shared" si="4"/>
        <v>1.9626282902792545</v>
      </c>
      <c r="X22">
        <f t="shared" si="13"/>
        <v>0.60269237662053965</v>
      </c>
      <c r="Y22">
        <f t="shared" si="14"/>
        <v>-18.845748946621654</v>
      </c>
      <c r="Z22">
        <f t="shared" si="5"/>
        <v>17.195179061018855</v>
      </c>
      <c r="AA22">
        <f t="shared" si="6"/>
        <v>14.128665010040226</v>
      </c>
    </row>
    <row r="23" spans="2:27" x14ac:dyDescent="0.25">
      <c r="B23" s="4"/>
      <c r="C23" s="11"/>
      <c r="E23" s="5"/>
      <c r="H23" s="15">
        <f t="shared" si="7"/>
        <v>0.17</v>
      </c>
      <c r="I23" s="9">
        <f t="shared" si="0"/>
        <v>15.758703951153949</v>
      </c>
      <c r="J23">
        <f t="shared" si="15"/>
        <v>15.904918473801775</v>
      </c>
      <c r="K23">
        <f t="shared" si="18"/>
        <v>48.284375997265741</v>
      </c>
      <c r="M23" s="15">
        <f t="shared" si="9"/>
        <v>0.17</v>
      </c>
      <c r="N23">
        <f t="shared" si="16"/>
        <v>15.662021912659768</v>
      </c>
      <c r="O23">
        <f t="shared" si="1"/>
        <v>-2.7714934471403954</v>
      </c>
      <c r="P23">
        <f t="shared" si="10"/>
        <v>-0.10307547808931219</v>
      </c>
      <c r="Q23">
        <f t="shared" si="11"/>
        <v>29.50206038382337</v>
      </c>
      <c r="R23">
        <f t="shared" si="2"/>
        <v>-141.20141910520502</v>
      </c>
      <c r="S23">
        <f t="shared" si="3"/>
        <v>5.7633436808891183</v>
      </c>
      <c r="U23" s="15">
        <f t="shared" si="12"/>
        <v>0.17</v>
      </c>
      <c r="V23">
        <f t="shared" si="17"/>
        <v>3.2093235003309339</v>
      </c>
      <c r="W23">
        <f t="shared" si="4"/>
        <v>1.7906764996690661</v>
      </c>
      <c r="X23">
        <f t="shared" si="13"/>
        <v>0.6214589005702813</v>
      </c>
      <c r="Y23">
        <f t="shared" si="14"/>
        <v>-17.195179061018838</v>
      </c>
      <c r="Z23">
        <f t="shared" si="5"/>
        <v>15.662021912659768</v>
      </c>
      <c r="AA23">
        <f t="shared" si="6"/>
        <v>12.890528465519372</v>
      </c>
    </row>
    <row r="24" spans="2:27" x14ac:dyDescent="0.25">
      <c r="B24" s="4"/>
      <c r="C24" s="11"/>
      <c r="E24" s="5"/>
      <c r="H24" s="15">
        <f t="shared" si="7"/>
        <v>0.18000000000000002</v>
      </c>
      <c r="I24" s="9">
        <f t="shared" si="0"/>
        <v>16.512830449299912</v>
      </c>
      <c r="J24">
        <f t="shared" si="15"/>
        <v>16.664217148716883</v>
      </c>
      <c r="K24">
        <f t="shared" si="18"/>
        <v>48.322583004658512</v>
      </c>
      <c r="M24" s="15">
        <f t="shared" si="9"/>
        <v>0.18000000000000002</v>
      </c>
      <c r="N24">
        <f t="shared" si="16"/>
        <v>14.250007721607718</v>
      </c>
      <c r="O24">
        <f t="shared" si="1"/>
        <v>-2.4723433114279718</v>
      </c>
      <c r="P24">
        <f t="shared" si="10"/>
        <v>-0.12929466188215402</v>
      </c>
      <c r="Q24">
        <f t="shared" si="11"/>
        <v>29.915013571242355</v>
      </c>
      <c r="R24">
        <f t="shared" si="2"/>
        <v>-129.36170109286533</v>
      </c>
      <c r="S24">
        <f t="shared" si="3"/>
        <v>5.2920097965542903</v>
      </c>
      <c r="U24" s="15">
        <f t="shared" si="12"/>
        <v>0.18000000000000002</v>
      </c>
      <c r="V24">
        <f t="shared" si="17"/>
        <v>3.3659437194575315</v>
      </c>
      <c r="W24">
        <f t="shared" si="4"/>
        <v>1.6340562805424685</v>
      </c>
      <c r="X24">
        <f t="shared" si="13"/>
        <v>0.63858256447133899</v>
      </c>
      <c r="Y24">
        <f t="shared" si="14"/>
        <v>-15.662021912659752</v>
      </c>
      <c r="Z24">
        <f t="shared" si="5"/>
        <v>14.250007721607718</v>
      </c>
      <c r="AA24">
        <f t="shared" si="6"/>
        <v>11.777664410179746</v>
      </c>
    </row>
    <row r="25" spans="2:27" x14ac:dyDescent="0.25">
      <c r="B25" s="4"/>
      <c r="C25" s="11"/>
      <c r="E25" s="5"/>
      <c r="H25" s="15">
        <f t="shared" si="7"/>
        <v>0.19000000000000003</v>
      </c>
      <c r="I25" s="9">
        <f t="shared" si="0"/>
        <v>17.250348149274366</v>
      </c>
      <c r="J25">
        <f t="shared" si="15"/>
        <v>17.406606215209884</v>
      </c>
      <c r="K25">
        <f t="shared" si="18"/>
        <v>48.359939140641472</v>
      </c>
      <c r="M25" s="15">
        <f t="shared" si="9"/>
        <v>0.19000000000000003</v>
      </c>
      <c r="N25">
        <f t="shared" si="16"/>
        <v>12.956390710679065</v>
      </c>
      <c r="O25">
        <f t="shared" si="1"/>
        <v>-2.1827201315662261</v>
      </c>
      <c r="P25">
        <f t="shared" si="10"/>
        <v>-0.152569979097125</v>
      </c>
      <c r="Q25">
        <f t="shared" si="11"/>
        <v>28.962317986174568</v>
      </c>
      <c r="R25">
        <f t="shared" si="2"/>
        <v>-118.11755283064575</v>
      </c>
      <c r="S25">
        <f t="shared" si="3"/>
        <v>4.8386669787563319</v>
      </c>
      <c r="U25" s="15">
        <f t="shared" si="12"/>
        <v>0.19000000000000003</v>
      </c>
      <c r="V25">
        <f t="shared" si="17"/>
        <v>3.5084437966736086</v>
      </c>
      <c r="W25">
        <f t="shared" si="4"/>
        <v>1.4915562033263914</v>
      </c>
      <c r="X25">
        <f t="shared" si="13"/>
        <v>0.65421062689068332</v>
      </c>
      <c r="Y25">
        <f t="shared" si="14"/>
        <v>-14.250007721607716</v>
      </c>
      <c r="Z25">
        <f t="shared" si="5"/>
        <v>12.956390710679065</v>
      </c>
      <c r="AA25">
        <f t="shared" si="6"/>
        <v>10.773670579112839</v>
      </c>
    </row>
    <row r="26" spans="2:27" x14ac:dyDescent="0.25">
      <c r="B26" s="4"/>
      <c r="C26" s="11"/>
      <c r="E26" s="5"/>
      <c r="H26" s="15">
        <f t="shared" si="7"/>
        <v>0.20000000000000004</v>
      </c>
      <c r="I26" s="9">
        <f t="shared" si="0"/>
        <v>17.97162284140213</v>
      </c>
      <c r="J26">
        <f t="shared" si="15"/>
        <v>18.132462250860108</v>
      </c>
      <c r="K26">
        <f t="shared" si="18"/>
        <v>48.396463354151102</v>
      </c>
      <c r="M26" s="15">
        <f t="shared" si="9"/>
        <v>0.20000000000000004</v>
      </c>
      <c r="N26">
        <f t="shared" si="16"/>
        <v>11.775215182372607</v>
      </c>
      <c r="O26">
        <f t="shared" si="1"/>
        <v>-1.9095029830769317</v>
      </c>
      <c r="P26">
        <f t="shared" si="10"/>
        <v>-0.17303109467034078</v>
      </c>
      <c r="Q26">
        <f t="shared" si="11"/>
        <v>27.321714848929446</v>
      </c>
      <c r="R26">
        <f t="shared" si="2"/>
        <v>-107.59645175948097</v>
      </c>
      <c r="S26">
        <f t="shared" si="3"/>
        <v>4.4109442910162731</v>
      </c>
      <c r="U26" s="15">
        <f t="shared" si="12"/>
        <v>0.20000000000000004</v>
      </c>
      <c r="V26">
        <f t="shared" si="17"/>
        <v>3.6380077037803993</v>
      </c>
      <c r="W26">
        <f t="shared" si="4"/>
        <v>1.3619922962196007</v>
      </c>
      <c r="X26">
        <f t="shared" si="13"/>
        <v>0.66847836938841332</v>
      </c>
      <c r="Y26">
        <f t="shared" si="14"/>
        <v>-12.956390710679067</v>
      </c>
      <c r="Z26">
        <f t="shared" si="5"/>
        <v>11.775215182372607</v>
      </c>
      <c r="AA26">
        <f t="shared" si="6"/>
        <v>9.8657121992956753</v>
      </c>
    </row>
    <row r="27" spans="2:27" x14ac:dyDescent="0.25">
      <c r="B27" s="4"/>
      <c r="C27" s="11"/>
      <c r="E27" s="5"/>
      <c r="H27" s="15">
        <f t="shared" si="7"/>
        <v>0.21000000000000005</v>
      </c>
      <c r="I27" s="9">
        <f t="shared" si="0"/>
        <v>18.677012259882552</v>
      </c>
      <c r="J27">
        <f t="shared" si="15"/>
        <v>18.842153446850837</v>
      </c>
      <c r="K27">
        <f t="shared" si="18"/>
        <v>48.432174172130388</v>
      </c>
      <c r="M27" s="15">
        <f t="shared" si="9"/>
        <v>0.21000000000000005</v>
      </c>
      <c r="N27">
        <f t="shared" si="16"/>
        <v>10.699250664777797</v>
      </c>
      <c r="O27">
        <f t="shared" si="1"/>
        <v>-1.6559765232135923</v>
      </c>
      <c r="P27">
        <f t="shared" si="10"/>
        <v>-0.19085849220179341</v>
      </c>
      <c r="Q27">
        <f t="shared" si="11"/>
        <v>25.352645986333933</v>
      </c>
      <c r="R27">
        <f t="shared" si="2"/>
        <v>-97.853824202789909</v>
      </c>
      <c r="S27">
        <f t="shared" si="3"/>
        <v>4.0127190475728121</v>
      </c>
      <c r="U27" s="15">
        <f t="shared" si="12"/>
        <v>0.21000000000000005</v>
      </c>
      <c r="V27">
        <f t="shared" si="17"/>
        <v>3.7557598556041252</v>
      </c>
      <c r="W27">
        <f t="shared" si="4"/>
        <v>1.2442401443958748</v>
      </c>
      <c r="X27">
        <f t="shared" si="13"/>
        <v>0.68150953159149075</v>
      </c>
      <c r="Y27">
        <f t="shared" si="14"/>
        <v>-11.775215182372589</v>
      </c>
      <c r="Z27">
        <f t="shared" si="5"/>
        <v>10.699250664777797</v>
      </c>
      <c r="AA27">
        <f t="shared" si="6"/>
        <v>9.0432741415642042</v>
      </c>
    </row>
    <row r="28" spans="2:27" ht="15.75" thickBot="1" x14ac:dyDescent="0.3">
      <c r="B28" s="6"/>
      <c r="C28" s="12"/>
      <c r="D28" s="7"/>
      <c r="E28" s="8"/>
      <c r="H28" s="15">
        <f t="shared" si="7"/>
        <v>0.22000000000000006</v>
      </c>
      <c r="I28" s="9">
        <f t="shared" si="0"/>
        <v>19.366866260216742</v>
      </c>
      <c r="J28">
        <f t="shared" si="15"/>
        <v>19.536039794734645</v>
      </c>
      <c r="K28">
        <f t="shared" si="18"/>
        <v>48.467089708926636</v>
      </c>
      <c r="M28" s="15">
        <f t="shared" si="9"/>
        <v>0.22000000000000006</v>
      </c>
      <c r="N28">
        <f t="shared" si="16"/>
        <v>9.720712422749898</v>
      </c>
      <c r="O28">
        <f t="shared" si="1"/>
        <v>-1.4233661021616317</v>
      </c>
      <c r="P28">
        <f t="shared" si="10"/>
        <v>-0.20625520532866953</v>
      </c>
      <c r="Q28">
        <f t="shared" si="11"/>
        <v>23.261042105196061</v>
      </c>
      <c r="R28">
        <f t="shared" si="2"/>
        <v>-88.898281744003384</v>
      </c>
      <c r="S28">
        <f t="shared" si="3"/>
        <v>3.6453978099146505</v>
      </c>
      <c r="U28" s="15">
        <f t="shared" si="12"/>
        <v>0.22000000000000006</v>
      </c>
      <c r="V28">
        <f t="shared" si="17"/>
        <v>3.8627523622519031</v>
      </c>
      <c r="W28">
        <f t="shared" si="4"/>
        <v>1.1372476377480969</v>
      </c>
      <c r="X28">
        <f t="shared" si="13"/>
        <v>0.69341697050221063</v>
      </c>
      <c r="Y28">
        <f t="shared" si="14"/>
        <v>-10.699250664777793</v>
      </c>
      <c r="Z28">
        <f t="shared" si="5"/>
        <v>9.720712422749898</v>
      </c>
      <c r="AA28">
        <f t="shared" si="6"/>
        <v>8.2973463205882663</v>
      </c>
    </row>
    <row r="29" spans="2:27" x14ac:dyDescent="0.25">
      <c r="H29" s="15">
        <f t="shared" si="7"/>
        <v>0.23000000000000007</v>
      </c>
      <c r="I29" s="9">
        <f t="shared" si="0"/>
        <v>20.041526992727128</v>
      </c>
      <c r="J29">
        <f t="shared" si="15"/>
        <v>20.214473269039459</v>
      </c>
      <c r="K29">
        <f t="shared" si="18"/>
        <v>48.501227675480003</v>
      </c>
      <c r="M29" s="15">
        <f t="shared" si="9"/>
        <v>0.23000000000000007</v>
      </c>
      <c r="N29">
        <f t="shared" si="16"/>
        <v>8.8317296053098637</v>
      </c>
      <c r="O29">
        <f t="shared" si="1"/>
        <v>-1.2115996544376388</v>
      </c>
      <c r="P29">
        <f t="shared" si="10"/>
        <v>-0.21943003411166589</v>
      </c>
      <c r="Q29">
        <f t="shared" si="11"/>
        <v>21.176644772399289</v>
      </c>
      <c r="R29">
        <f t="shared" si="2"/>
        <v>-80.704962043854621</v>
      </c>
      <c r="S29">
        <f t="shared" si="3"/>
        <v>3.3085830317096141</v>
      </c>
      <c r="U29" s="15">
        <f t="shared" si="12"/>
        <v>0.23000000000000007</v>
      </c>
      <c r="V29">
        <f t="shared" si="17"/>
        <v>3.9599594864794021</v>
      </c>
      <c r="W29">
        <f t="shared" si="4"/>
        <v>1.0400405135205979</v>
      </c>
      <c r="X29">
        <f t="shared" si="13"/>
        <v>0.70430341125855411</v>
      </c>
      <c r="Y29">
        <f t="shared" si="14"/>
        <v>-9.7207124227498998</v>
      </c>
      <c r="Z29">
        <f t="shared" si="5"/>
        <v>8.8317296053098637</v>
      </c>
      <c r="AA29">
        <f t="shared" si="6"/>
        <v>7.6201299508722249</v>
      </c>
    </row>
    <row r="30" spans="2:27" x14ac:dyDescent="0.25">
      <c r="H30" s="15">
        <f t="shared" si="7"/>
        <v>0.24000000000000007</v>
      </c>
      <c r="I30" s="9">
        <f t="shared" si="0"/>
        <v>20.70132907225549</v>
      </c>
      <c r="J30">
        <f t="shared" si="15"/>
        <v>20.877798005807986</v>
      </c>
      <c r="K30">
        <f t="shared" si="18"/>
        <v>48.534605388307384</v>
      </c>
      <c r="M30" s="15">
        <f t="shared" si="9"/>
        <v>0.24000000000000007</v>
      </c>
      <c r="N30">
        <f t="shared" si="16"/>
        <v>8.0246799848713177</v>
      </c>
      <c r="O30">
        <f t="shared" si="1"/>
        <v>-1.0198661779162475</v>
      </c>
      <c r="P30">
        <f t="shared" si="10"/>
        <v>-0.23058736327343532</v>
      </c>
      <c r="Q30">
        <f t="shared" si="11"/>
        <v>19.173347652139139</v>
      </c>
      <c r="R30">
        <f t="shared" si="2"/>
        <v>-73.232188212389062</v>
      </c>
      <c r="S30">
        <f t="shared" si="3"/>
        <v>3.00093569567828</v>
      </c>
      <c r="U30" s="15">
        <f t="shared" si="12"/>
        <v>0.24000000000000007</v>
      </c>
      <c r="V30">
        <f t="shared" si="17"/>
        <v>4.0482767825325006</v>
      </c>
      <c r="W30">
        <f t="shared" si="4"/>
        <v>0.95172321746749944</v>
      </c>
      <c r="X30">
        <f t="shared" si="13"/>
        <v>0.71426222991349464</v>
      </c>
      <c r="Y30">
        <f t="shared" si="14"/>
        <v>-8.831729605309846</v>
      </c>
      <c r="Z30">
        <f t="shared" si="5"/>
        <v>8.0246799848713177</v>
      </c>
      <c r="AA30">
        <f t="shared" si="6"/>
        <v>7.0048138069550703</v>
      </c>
    </row>
    <row r="31" spans="2:27" x14ac:dyDescent="0.25">
      <c r="B31" s="18" t="s">
        <v>19</v>
      </c>
      <c r="C31" s="18"/>
      <c r="H31" s="15">
        <f t="shared" si="7"/>
        <v>0.25000000000000006</v>
      </c>
      <c r="I31" s="9">
        <f t="shared" si="0"/>
        <v>21.346599744123509</v>
      </c>
      <c r="J31">
        <f t="shared" si="15"/>
        <v>21.526350477161049</v>
      </c>
      <c r="K31">
        <f t="shared" si="18"/>
        <v>48.567239778286215</v>
      </c>
      <c r="M31" s="15">
        <f t="shared" si="9"/>
        <v>0.25000000000000006</v>
      </c>
      <c r="N31">
        <f t="shared" si="16"/>
        <v>7.2923581027474267</v>
      </c>
      <c r="O31">
        <f t="shared" si="1"/>
        <v>-0.84698108375765813</v>
      </c>
      <c r="P31">
        <f t="shared" si="10"/>
        <v>-0.23992159958180484</v>
      </c>
      <c r="Q31">
        <f t="shared" si="11"/>
        <v>17.288509415858933</v>
      </c>
      <c r="R31">
        <f t="shared" si="2"/>
        <v>-66.431247268212502</v>
      </c>
      <c r="S31">
        <f t="shared" si="3"/>
        <v>2.7206850712657511</v>
      </c>
      <c r="U31" s="15">
        <f t="shared" si="12"/>
        <v>0.25000000000000006</v>
      </c>
      <c r="V31">
        <f t="shared" si="17"/>
        <v>4.1285235823812139</v>
      </c>
      <c r="W31">
        <f t="shared" si="4"/>
        <v>0.87147641761878614</v>
      </c>
      <c r="X31">
        <f t="shared" si="13"/>
        <v>0.72337822808892605</v>
      </c>
      <c r="Y31">
        <f t="shared" si="14"/>
        <v>-8.0246799848713302</v>
      </c>
      <c r="Z31">
        <f t="shared" si="5"/>
        <v>7.2923581027474267</v>
      </c>
      <c r="AA31">
        <f t="shared" si="6"/>
        <v>6.4453770189897686</v>
      </c>
    </row>
    <row r="32" spans="2:27" x14ac:dyDescent="0.25">
      <c r="B32" s="18"/>
      <c r="C32" s="18"/>
      <c r="H32" s="15">
        <f t="shared" si="7"/>
        <v>0.26000000000000006</v>
      </c>
      <c r="I32" s="9">
        <f t="shared" si="0"/>
        <v>21.977659046438294</v>
      </c>
      <c r="J32">
        <f t="shared" si="15"/>
        <v>22.160459661973416</v>
      </c>
      <c r="K32">
        <f t="shared" si="18"/>
        <v>48.599147399242696</v>
      </c>
      <c r="M32" s="15">
        <f t="shared" si="9"/>
        <v>0.26000000000000006</v>
      </c>
      <c r="N32">
        <f t="shared" si="16"/>
        <v>6.6280456300653015</v>
      </c>
      <c r="O32">
        <f t="shared" si="1"/>
        <v>-0.69159064234328227</v>
      </c>
      <c r="P32">
        <f t="shared" si="10"/>
        <v>-0.24761445821230954</v>
      </c>
      <c r="Q32">
        <f t="shared" si="11"/>
        <v>15.539044141437586</v>
      </c>
      <c r="R32">
        <f t="shared" si="2"/>
        <v>-60.250871401954484</v>
      </c>
      <c r="S32">
        <f t="shared" si="3"/>
        <v>2.4658631343337363</v>
      </c>
      <c r="U32" s="15">
        <f t="shared" si="12"/>
        <v>0.26000000000000006</v>
      </c>
      <c r="V32">
        <f t="shared" si="17"/>
        <v>4.2014471634086883</v>
      </c>
      <c r="W32">
        <f t="shared" si="4"/>
        <v>0.79855283659131171</v>
      </c>
      <c r="X32">
        <f t="shared" si="13"/>
        <v>0.73172837435997651</v>
      </c>
      <c r="Y32">
        <f t="shared" si="14"/>
        <v>-7.2923581027474427</v>
      </c>
      <c r="Z32">
        <f t="shared" si="5"/>
        <v>6.6280456300653015</v>
      </c>
      <c r="AA32">
        <f t="shared" si="6"/>
        <v>5.9364549877220192</v>
      </c>
    </row>
    <row r="33" spans="2:27" x14ac:dyDescent="0.25">
      <c r="B33" t="s">
        <v>20</v>
      </c>
      <c r="H33" s="15">
        <f t="shared" si="7"/>
        <v>0.27000000000000007</v>
      </c>
      <c r="I33" s="9">
        <f t="shared" si="0"/>
        <v>22.594819968823231</v>
      </c>
      <c r="J33">
        <f t="shared" si="15"/>
        <v>22.780447212748641</v>
      </c>
      <c r="K33">
        <f t="shared" si="18"/>
        <v>48.630344436348743</v>
      </c>
      <c r="M33" s="15">
        <f t="shared" si="9"/>
        <v>0.27000000000000007</v>
      </c>
      <c r="N33">
        <f t="shared" si="16"/>
        <v>6.0255369160457564</v>
      </c>
      <c r="O33">
        <f t="shared" si="1"/>
        <v>-0.55229116759051156</v>
      </c>
      <c r="P33">
        <f t="shared" si="10"/>
        <v>-0.25383386726197849</v>
      </c>
      <c r="Q33">
        <f t="shared" si="11"/>
        <v>13.929947475277071</v>
      </c>
      <c r="R33">
        <f t="shared" si="2"/>
        <v>-54.640018339662703</v>
      </c>
      <c r="S33">
        <f t="shared" si="3"/>
        <v>2.234452196738145</v>
      </c>
      <c r="U33" s="15">
        <f t="shared" si="12"/>
        <v>0.27000000000000007</v>
      </c>
      <c r="V33">
        <f t="shared" si="17"/>
        <v>4.2677276197093414</v>
      </c>
      <c r="W33">
        <f t="shared" si="4"/>
        <v>0.73227238029065855</v>
      </c>
      <c r="X33">
        <f t="shared" si="13"/>
        <v>0.73938250044438636</v>
      </c>
      <c r="Y33">
        <f t="shared" si="14"/>
        <v>-6.6280456300653157</v>
      </c>
      <c r="Z33">
        <f t="shared" si="5"/>
        <v>6.0255369160457564</v>
      </c>
      <c r="AA33">
        <f t="shared" si="6"/>
        <v>5.4732457484552448</v>
      </c>
    </row>
    <row r="34" spans="2:27" x14ac:dyDescent="0.25">
      <c r="B34" t="s">
        <v>21</v>
      </c>
      <c r="C34">
        <v>-2</v>
      </c>
      <c r="H34" s="15">
        <f t="shared" si="7"/>
        <v>0.28000000000000008</v>
      </c>
      <c r="I34" s="9">
        <f t="shared" si="0"/>
        <v>23.198388607653051</v>
      </c>
      <c r="J34">
        <f t="shared" si="15"/>
        <v>23.386627618777613</v>
      </c>
      <c r="K34">
        <f t="shared" si="18"/>
        <v>48.660846714331903</v>
      </c>
      <c r="M34" s="15">
        <f t="shared" si="9"/>
        <v>0.28000000000000008</v>
      </c>
      <c r="N34">
        <f t="shared" si="16"/>
        <v>5.4791367326491294</v>
      </c>
      <c r="O34">
        <f t="shared" si="1"/>
        <v>-0.42770105710959072</v>
      </c>
      <c r="P34">
        <f t="shared" si="10"/>
        <v>-0.25873382838547898</v>
      </c>
      <c r="Q34">
        <f t="shared" si="11"/>
        <v>12.459011048092083</v>
      </c>
      <c r="R34">
        <f t="shared" si="2"/>
        <v>-49.549641741340352</v>
      </c>
      <c r="S34">
        <f t="shared" si="3"/>
        <v>2.0244811456656553</v>
      </c>
      <c r="U34" s="15">
        <f t="shared" si="12"/>
        <v>0.28000000000000008</v>
      </c>
      <c r="V34">
        <f t="shared" si="17"/>
        <v>4.3279829888697989</v>
      </c>
      <c r="W34">
        <f t="shared" si="4"/>
        <v>0.67201701113020107</v>
      </c>
      <c r="X34">
        <f t="shared" si="13"/>
        <v>0.74640394740149063</v>
      </c>
      <c r="Y34">
        <f t="shared" si="14"/>
        <v>-6.0255369160457484</v>
      </c>
      <c r="Z34">
        <f t="shared" si="5"/>
        <v>5.4791367326491294</v>
      </c>
      <c r="AA34">
        <f t="shared" si="6"/>
        <v>5.0514356755395387</v>
      </c>
    </row>
    <row r="35" spans="2:27" x14ac:dyDescent="0.25">
      <c r="B35" t="s">
        <v>22</v>
      </c>
      <c r="C35">
        <v>-5</v>
      </c>
      <c r="H35" s="15">
        <f t="shared" si="7"/>
        <v>0.29000000000000009</v>
      </c>
      <c r="I35" s="9">
        <f t="shared" si="0"/>
        <v>23.788664317869944</v>
      </c>
      <c r="J35">
        <f t="shared" si="15"/>
        <v>23.979308365663559</v>
      </c>
      <c r="K35">
        <f t="shared" si="18"/>
        <v>48.690669705502479</v>
      </c>
      <c r="M35" s="15">
        <f t="shared" si="9"/>
        <v>0.29000000000000009</v>
      </c>
      <c r="N35">
        <f t="shared" si="16"/>
        <v>4.9836403152357258</v>
      </c>
      <c r="O35">
        <f t="shared" si="1"/>
        <v>-0.31650095591579852</v>
      </c>
      <c r="P35">
        <f t="shared" si="10"/>
        <v>-0.26245483845060591</v>
      </c>
      <c r="Q35">
        <f t="shared" si="11"/>
        <v>11.12001011937922</v>
      </c>
      <c r="R35">
        <f t="shared" si="2"/>
        <v>-44.933579467518449</v>
      </c>
      <c r="S35">
        <f t="shared" si="3"/>
        <v>1.8340760028908343</v>
      </c>
      <c r="U35" s="15">
        <f t="shared" si="12"/>
        <v>0.29000000000000009</v>
      </c>
      <c r="V35">
        <f t="shared" si="17"/>
        <v>4.3827743561962906</v>
      </c>
      <c r="W35">
        <f t="shared" si="4"/>
        <v>0.61722564380370937</v>
      </c>
      <c r="X35">
        <f t="shared" si="13"/>
        <v>0.75285016067616017</v>
      </c>
      <c r="Y35">
        <f t="shared" si="14"/>
        <v>-5.4791367326491702</v>
      </c>
      <c r="Z35">
        <f t="shared" si="5"/>
        <v>4.9836403152357258</v>
      </c>
      <c r="AA35">
        <f t="shared" si="6"/>
        <v>4.6671393593199273</v>
      </c>
    </row>
    <row r="36" spans="2:27" x14ac:dyDescent="0.25">
      <c r="B36" t="s">
        <v>23</v>
      </c>
      <c r="C36">
        <v>-0.01</v>
      </c>
      <c r="H36" s="15">
        <f t="shared" si="7"/>
        <v>0.3000000000000001</v>
      </c>
      <c r="I36" s="9">
        <f t="shared" si="0"/>
        <v>24.365939861456123</v>
      </c>
      <c r="J36">
        <f t="shared" si="15"/>
        <v>24.558790091294423</v>
      </c>
      <c r="K36">
        <f t="shared" si="18"/>
        <v>48.719828537601892</v>
      </c>
      <c r="M36" s="15">
        <f t="shared" si="9"/>
        <v>0.3000000000000001</v>
      </c>
      <c r="N36">
        <f t="shared" si="16"/>
        <v>4.534304520560541</v>
      </c>
      <c r="O36">
        <f t="shared" si="1"/>
        <v>-0.21745379036215162</v>
      </c>
      <c r="P36">
        <f t="shared" si="10"/>
        <v>-0.26512461218199568</v>
      </c>
      <c r="Q36">
        <f t="shared" si="11"/>
        <v>9.9047165553646899</v>
      </c>
      <c r="R36">
        <f t="shared" si="2"/>
        <v>-40.748923821968482</v>
      </c>
      <c r="S36">
        <f t="shared" si="3"/>
        <v>1.6614834760806347</v>
      </c>
      <c r="U36" s="15">
        <f t="shared" si="12"/>
        <v>0.3000000000000001</v>
      </c>
      <c r="V36">
        <f t="shared" si="17"/>
        <v>4.4326107593486475</v>
      </c>
      <c r="W36">
        <f t="shared" si="4"/>
        <v>0.56738924065135254</v>
      </c>
      <c r="X36">
        <f t="shared" si="13"/>
        <v>0.75877323509843553</v>
      </c>
      <c r="Y36">
        <f t="shared" si="14"/>
        <v>-4.9836403152356823</v>
      </c>
      <c r="Z36">
        <f t="shared" si="5"/>
        <v>4.534304520560541</v>
      </c>
      <c r="AA36">
        <f t="shared" si="6"/>
        <v>4.3168507301983894</v>
      </c>
    </row>
    <row r="37" spans="2:27" x14ac:dyDescent="0.25">
      <c r="H37" s="15">
        <f t="shared" si="7"/>
        <v>0.31000000000000011</v>
      </c>
      <c r="I37" s="9">
        <f t="shared" si="0"/>
        <v>24.930501552636457</v>
      </c>
      <c r="J37">
        <f t="shared" si="15"/>
        <v>25.125366738341707</v>
      </c>
      <c r="K37">
        <f t="shared" si="18"/>
        <v>48.748338001476206</v>
      </c>
      <c r="M37" s="15">
        <f t="shared" si="9"/>
        <v>0.31000000000000011</v>
      </c>
      <c r="N37">
        <f t="shared" si="16"/>
        <v>4.1268152823408562</v>
      </c>
      <c r="O37">
        <f t="shared" si="1"/>
        <v>-0.12941319727215994</v>
      </c>
      <c r="P37">
        <f t="shared" si="10"/>
        <v>-0.26685894712016722</v>
      </c>
      <c r="Q37">
        <f t="shared" si="11"/>
        <v>8.8040593089991681</v>
      </c>
      <c r="R37">
        <f t="shared" si="2"/>
        <v>-36.956125774685567</v>
      </c>
      <c r="S37">
        <f t="shared" si="3"/>
        <v>1.5050805370551643</v>
      </c>
      <c r="U37" s="15">
        <f t="shared" si="12"/>
        <v>0.31000000000000011</v>
      </c>
      <c r="V37">
        <f t="shared" si="17"/>
        <v>4.4779538045542528</v>
      </c>
      <c r="W37">
        <f t="shared" si="4"/>
        <v>0.52204619544574715</v>
      </c>
      <c r="X37">
        <f t="shared" si="13"/>
        <v>0.76422041227892101</v>
      </c>
      <c r="Y37">
        <f t="shared" si="14"/>
        <v>-4.5343045205605392</v>
      </c>
      <c r="Z37">
        <f t="shared" si="5"/>
        <v>4.1268152823408562</v>
      </c>
      <c r="AA37">
        <f t="shared" si="6"/>
        <v>3.9974020850686962</v>
      </c>
    </row>
    <row r="38" spans="2:27" x14ac:dyDescent="0.25">
      <c r="B38" t="s">
        <v>36</v>
      </c>
      <c r="H38" s="15">
        <f t="shared" si="7"/>
        <v>0.32000000000000012</v>
      </c>
      <c r="I38" s="9">
        <f t="shared" si="0"/>
        <v>25.482629399883141</v>
      </c>
      <c r="J38">
        <f t="shared" si="15"/>
        <v>25.679325703363205</v>
      </c>
      <c r="K38">
        <f t="shared" si="18"/>
        <v>48.776212558578834</v>
      </c>
      <c r="M38" s="15">
        <f t="shared" si="9"/>
        <v>0.32000000000000012</v>
      </c>
      <c r="N38">
        <f t="shared" si="16"/>
        <v>3.7572540245940003</v>
      </c>
      <c r="O38">
        <f t="shared" si="1"/>
        <v>-5.1325154296372411E-2</v>
      </c>
      <c r="P38">
        <f t="shared" si="10"/>
        <v>-0.26776263887800988</v>
      </c>
      <c r="Q38">
        <f t="shared" si="11"/>
        <v>7.8088042975787531</v>
      </c>
      <c r="R38">
        <f t="shared" si="2"/>
        <v>-33.518939317320267</v>
      </c>
      <c r="S38">
        <f t="shared" si="3"/>
        <v>1.3633754600070067</v>
      </c>
      <c r="U38" s="15">
        <f t="shared" si="12"/>
        <v>0.32000000000000012</v>
      </c>
      <c r="V38">
        <f t="shared" si="17"/>
        <v>4.5192219573776615</v>
      </c>
      <c r="W38">
        <f t="shared" si="4"/>
        <v>0.48077804262233848</v>
      </c>
      <c r="X38">
        <f t="shared" si="13"/>
        <v>0.76923453346926141</v>
      </c>
      <c r="Y38">
        <f t="shared" si="14"/>
        <v>-4.1268152823408677</v>
      </c>
      <c r="Z38">
        <f t="shared" si="5"/>
        <v>3.7572540245940003</v>
      </c>
      <c r="AA38">
        <f t="shared" si="6"/>
        <v>3.7059288702976279</v>
      </c>
    </row>
    <row r="39" spans="2:27" x14ac:dyDescent="0.25">
      <c r="B39" t="s">
        <v>21</v>
      </c>
      <c r="C39">
        <v>12</v>
      </c>
      <c r="H39" s="15">
        <f t="shared" si="7"/>
        <v>0.33000000000000013</v>
      </c>
      <c r="I39" s="9">
        <f t="shared" si="0"/>
        <v>26.022597244792909</v>
      </c>
      <c r="J39">
        <f t="shared" si="15"/>
        <v>26.220947982585169</v>
      </c>
      <c r="K39">
        <f t="shared" si="18"/>
        <v>48.803466348306095</v>
      </c>
      <c r="M39" s="15">
        <f t="shared" si="9"/>
        <v>0.33000000000000013</v>
      </c>
      <c r="N39">
        <f t="shared" si="16"/>
        <v>3.4220646314207976</v>
      </c>
      <c r="O39">
        <f t="shared" si="1"/>
        <v>1.7774384798961318E-2</v>
      </c>
      <c r="P39">
        <f t="shared" si="10"/>
        <v>-0.26793039272549696</v>
      </c>
      <c r="Q39">
        <f t="shared" si="11"/>
        <v>6.9099539095333729</v>
      </c>
      <c r="R39">
        <f t="shared" si="2"/>
        <v>-30.404271040030533</v>
      </c>
      <c r="S39">
        <f t="shared" si="3"/>
        <v>1.2350036549342285</v>
      </c>
      <c r="U39" s="15">
        <f t="shared" si="12"/>
        <v>0.33000000000000013</v>
      </c>
      <c r="V39">
        <f t="shared" si="17"/>
        <v>4.5567944976236019</v>
      </c>
      <c r="W39">
        <f t="shared" si="4"/>
        <v>0.44320550237639811</v>
      </c>
      <c r="X39">
        <f t="shared" si="13"/>
        <v>0.77385445119425511</v>
      </c>
      <c r="Y39">
        <f t="shared" si="14"/>
        <v>-3.7572540245940367</v>
      </c>
      <c r="Z39">
        <f t="shared" si="5"/>
        <v>3.4220646314207976</v>
      </c>
      <c r="AA39">
        <f t="shared" si="6"/>
        <v>3.439839016219759</v>
      </c>
    </row>
    <row r="40" spans="2:27" x14ac:dyDescent="0.25">
      <c r="B40" t="s">
        <v>22</v>
      </c>
      <c r="C40">
        <v>0</v>
      </c>
      <c r="H40" s="15">
        <f t="shared" si="7"/>
        <v>0.34000000000000014</v>
      </c>
      <c r="I40" s="9">
        <f t="shared" si="0"/>
        <v>26.55067289790561</v>
      </c>
      <c r="J40">
        <f t="shared" si="15"/>
        <v>26.75050831443793</v>
      </c>
      <c r="K40">
        <f t="shared" si="18"/>
        <v>48.83011319516946</v>
      </c>
      <c r="M40" s="15">
        <f t="shared" si="9"/>
        <v>0.34000000000000014</v>
      </c>
      <c r="N40">
        <f t="shared" si="16"/>
        <v>3.1180219210204925</v>
      </c>
      <c r="O40">
        <f t="shared" si="1"/>
        <v>7.8764036015398275E-2</v>
      </c>
      <c r="P40">
        <f t="shared" si="10"/>
        <v>-0.26744770062142514</v>
      </c>
      <c r="Q40">
        <f t="shared" si="11"/>
        <v>6.0989651216436958</v>
      </c>
      <c r="R40">
        <f t="shared" si="2"/>
        <v>-27.581982857374328</v>
      </c>
      <c r="S40">
        <f t="shared" si="3"/>
        <v>1.1187207798598922</v>
      </c>
      <c r="U40" s="15">
        <f t="shared" si="12"/>
        <v>0.34000000000000014</v>
      </c>
      <c r="V40">
        <f t="shared" si="17"/>
        <v>4.5910151439378097</v>
      </c>
      <c r="W40">
        <f t="shared" si="4"/>
        <v>0.40898485606219026</v>
      </c>
      <c r="X40">
        <f t="shared" si="13"/>
        <v>0.7781154029864481</v>
      </c>
      <c r="Y40">
        <f t="shared" si="14"/>
        <v>-3.4220646314207848</v>
      </c>
      <c r="Z40">
        <f t="shared" si="5"/>
        <v>3.1180219210204925</v>
      </c>
      <c r="AA40">
        <f t="shared" si="6"/>
        <v>3.1967859570358907</v>
      </c>
    </row>
    <row r="41" spans="2:27" x14ac:dyDescent="0.25">
      <c r="B41" t="s">
        <v>23</v>
      </c>
      <c r="C41">
        <v>0.5</v>
      </c>
      <c r="H41" s="15">
        <f t="shared" si="7"/>
        <v>0.35000000000000014</v>
      </c>
      <c r="I41" s="9">
        <f t="shared" si="0"/>
        <v>27.067118271531513</v>
      </c>
      <c r="J41">
        <f t="shared" si="15"/>
        <v>27.268275318917226</v>
      </c>
      <c r="K41">
        <f t="shared" si="18"/>
        <v>48.856166615808036</v>
      </c>
      <c r="M41" s="15">
        <f t="shared" si="9"/>
        <v>0.35000000000000014</v>
      </c>
      <c r="N41">
        <f t="shared" si="16"/>
        <v>2.8422020924467493</v>
      </c>
      <c r="O41">
        <f t="shared" si="1"/>
        <v>0.13244258926684616</v>
      </c>
      <c r="P41">
        <f t="shared" si="10"/>
        <v>-0.26639166749501392</v>
      </c>
      <c r="Q41">
        <f t="shared" si="11"/>
        <v>5.367855325144788</v>
      </c>
      <c r="R41">
        <f t="shared" si="2"/>
        <v>-25.024676116202645</v>
      </c>
      <c r="S41">
        <f t="shared" si="3"/>
        <v>1.0133946056899295</v>
      </c>
      <c r="U41" s="15">
        <f t="shared" si="12"/>
        <v>0.35000000000000014</v>
      </c>
      <c r="V41">
        <f t="shared" si="17"/>
        <v>4.6221953631480144</v>
      </c>
      <c r="W41">
        <f t="shared" si="4"/>
        <v>0.37780463685198562</v>
      </c>
      <c r="X41">
        <f t="shared" si="13"/>
        <v>0.78204935045101898</v>
      </c>
      <c r="Y41">
        <f t="shared" si="14"/>
        <v>-3.118021921020464</v>
      </c>
      <c r="Z41">
        <f t="shared" si="5"/>
        <v>2.8422020924467493</v>
      </c>
      <c r="AA41">
        <f t="shared" si="6"/>
        <v>2.9746446817135954</v>
      </c>
    </row>
    <row r="42" spans="2:27" x14ac:dyDescent="0.25">
      <c r="H42" s="15">
        <f t="shared" si="7"/>
        <v>0.36000000000000015</v>
      </c>
      <c r="I42" s="9">
        <f t="shared" si="0"/>
        <v>27.572189509653303</v>
      </c>
      <c r="J42">
        <f t="shared" si="15"/>
        <v>27.774511633841968</v>
      </c>
      <c r="K42">
        <f t="shared" si="18"/>
        <v>48.881639825844893</v>
      </c>
      <c r="M42" s="15">
        <f t="shared" si="9"/>
        <v>0.36000000000000015</v>
      </c>
      <c r="N42">
        <f t="shared" si="16"/>
        <v>2.5919553312847228</v>
      </c>
      <c r="O42">
        <f t="shared" si="1"/>
        <v>0.17953501362212343</v>
      </c>
      <c r="P42">
        <f t="shared" si="10"/>
        <v>-0.26483177948056907</v>
      </c>
      <c r="Q42">
        <f t="shared" si="11"/>
        <v>4.7092424355277274</v>
      </c>
      <c r="R42">
        <f t="shared" si="2"/>
        <v>-22.707472481668507</v>
      </c>
      <c r="S42">
        <f t="shared" si="3"/>
        <v>0.91799644580332118</v>
      </c>
      <c r="U42" s="15">
        <f t="shared" si="12"/>
        <v>0.36000000000000015</v>
      </c>
      <c r="V42">
        <f t="shared" si="17"/>
        <v>4.6506173840724818</v>
      </c>
      <c r="W42">
        <f t="shared" si="4"/>
        <v>0.34938261592751818</v>
      </c>
      <c r="X42">
        <f t="shared" si="13"/>
        <v>0.78568528671491644</v>
      </c>
      <c r="Y42">
        <f t="shared" si="14"/>
        <v>-2.8422020924467439</v>
      </c>
      <c r="Z42">
        <f t="shared" si="5"/>
        <v>2.5919553312847228</v>
      </c>
      <c r="AA42">
        <f t="shared" si="6"/>
        <v>2.7714903449068462</v>
      </c>
    </row>
    <row r="43" spans="2:27" x14ac:dyDescent="0.25">
      <c r="H43" s="15">
        <f t="shared" si="7"/>
        <v>0.37000000000000016</v>
      </c>
      <c r="I43" s="9">
        <f t="shared" si="0"/>
        <v>28.066137114967045</v>
      </c>
      <c r="J43">
        <f t="shared" si="15"/>
        <v>28.269474048077516</v>
      </c>
      <c r="K43">
        <f t="shared" si="18"/>
        <v>48.906545746590716</v>
      </c>
      <c r="M43" s="15">
        <f t="shared" si="9"/>
        <v>0.37000000000000016</v>
      </c>
      <c r="N43">
        <f t="shared" si="16"/>
        <v>2.3648806064680379</v>
      </c>
      <c r="O43">
        <f t="shared" si="1"/>
        <v>0.22069847926565878</v>
      </c>
      <c r="P43">
        <f t="shared" si="10"/>
        <v>-0.26283061201613017</v>
      </c>
      <c r="Q43">
        <f t="shared" si="11"/>
        <v>4.1163465643535346</v>
      </c>
      <c r="R43">
        <f t="shared" si="2"/>
        <v>-20.607800630172555</v>
      </c>
      <c r="S43">
        <f t="shared" si="3"/>
        <v>0.83159263590579791</v>
      </c>
      <c r="U43" s="15">
        <f t="shared" si="12"/>
        <v>0.37000000000000016</v>
      </c>
      <c r="V43">
        <f t="shared" si="17"/>
        <v>4.6765369373853289</v>
      </c>
      <c r="W43">
        <f t="shared" si="4"/>
        <v>0.32346306261467106</v>
      </c>
      <c r="X43">
        <f t="shared" si="13"/>
        <v>0.78904951510762744</v>
      </c>
      <c r="Y43">
        <f t="shared" si="14"/>
        <v>-2.5919553312847121</v>
      </c>
      <c r="Z43">
        <f t="shared" si="5"/>
        <v>2.3648806064680379</v>
      </c>
      <c r="AA43">
        <f t="shared" si="6"/>
        <v>2.5855790857336967</v>
      </c>
    </row>
    <row r="44" spans="2:27" x14ac:dyDescent="0.25">
      <c r="H44" s="15">
        <f t="shared" si="7"/>
        <v>0.38000000000000017</v>
      </c>
      <c r="I44" s="9">
        <f t="shared" si="0"/>
        <v>28.549206073125273</v>
      </c>
      <c r="J44">
        <f t="shared" si="15"/>
        <v>28.753413631792096</v>
      </c>
      <c r="K44">
        <f t="shared" si="18"/>
        <v>48.930897011598134</v>
      </c>
      <c r="M44" s="15">
        <f t="shared" si="9"/>
        <v>0.38000000000000017</v>
      </c>
      <c r="N44">
        <f t="shared" si="16"/>
        <v>2.1588026001663123</v>
      </c>
      <c r="O44">
        <f t="shared" si="1"/>
        <v>0.25652817519955251</v>
      </c>
      <c r="P44">
        <f t="shared" si="10"/>
        <v>-0.26044447874380411</v>
      </c>
      <c r="Q44">
        <f t="shared" si="11"/>
        <v>3.5829695933893735</v>
      </c>
      <c r="R44">
        <f t="shared" si="2"/>
        <v>-18.705193845110951</v>
      </c>
      <c r="S44">
        <f t="shared" si="3"/>
        <v>0.75333634738602173</v>
      </c>
      <c r="U44" s="15">
        <f t="shared" si="12"/>
        <v>0.38000000000000017</v>
      </c>
      <c r="V44">
        <f t="shared" si="17"/>
        <v>4.7001857434500094</v>
      </c>
      <c r="W44">
        <f t="shared" si="4"/>
        <v>0.29981425654999061</v>
      </c>
      <c r="X44">
        <f t="shared" si="13"/>
        <v>0.7921659017034508</v>
      </c>
      <c r="Y44">
        <f t="shared" si="14"/>
        <v>-2.364880606468045</v>
      </c>
      <c r="Z44">
        <f t="shared" si="5"/>
        <v>2.1588026001663123</v>
      </c>
      <c r="AA44">
        <f t="shared" si="6"/>
        <v>2.4153307753658648</v>
      </c>
    </row>
    <row r="45" spans="2:27" x14ac:dyDescent="0.25">
      <c r="H45" s="15">
        <f t="shared" si="7"/>
        <v>0.39000000000000018</v>
      </c>
      <c r="I45" s="9">
        <f t="shared" si="0"/>
        <v>29.021635974243743</v>
      </c>
      <c r="J45">
        <f t="shared" si="15"/>
        <v>29.226575863812386</v>
      </c>
      <c r="K45">
        <f t="shared" si="18"/>
        <v>48.954705973070112</v>
      </c>
      <c r="M45" s="15">
        <f t="shared" si="9"/>
        <v>0.39000000000000018</v>
      </c>
      <c r="N45">
        <f t="shared" si="16"/>
        <v>1.9717506617152027</v>
      </c>
      <c r="O45">
        <f t="shared" si="1"/>
        <v>0.28756280478155194</v>
      </c>
      <c r="P45">
        <f t="shared" si="10"/>
        <v>-0.25772402384389859</v>
      </c>
      <c r="Q45">
        <f t="shared" si="11"/>
        <v>3.1034629581999429</v>
      </c>
      <c r="R45">
        <f t="shared" si="2"/>
        <v>-16.981100964182492</v>
      </c>
      <c r="S45">
        <f t="shared" si="3"/>
        <v>0.68245988007438951</v>
      </c>
      <c r="U45" s="15">
        <f t="shared" si="12"/>
        <v>0.39000000000000018</v>
      </c>
      <c r="V45">
        <f t="shared" si="17"/>
        <v>4.7217737694516728</v>
      </c>
      <c r="W45">
        <f t="shared" si="4"/>
        <v>0.27822623054832718</v>
      </c>
      <c r="X45">
        <f t="shared" si="13"/>
        <v>0.79505610413894234</v>
      </c>
      <c r="Y45">
        <f t="shared" si="14"/>
        <v>-2.158802600166343</v>
      </c>
      <c r="Z45">
        <f t="shared" si="5"/>
        <v>1.9717506617152027</v>
      </c>
      <c r="AA45">
        <f t="shared" si="6"/>
        <v>2.2593134664967547</v>
      </c>
    </row>
    <row r="46" spans="2:27" x14ac:dyDescent="0.25">
      <c r="H46" s="15">
        <f t="shared" si="7"/>
        <v>0.40000000000000019</v>
      </c>
      <c r="I46" s="9">
        <f t="shared" si="0"/>
        <v>29.483661131732134</v>
      </c>
      <c r="J46">
        <f t="shared" si="15"/>
        <v>29.689200756142878</v>
      </c>
      <c r="K46">
        <f t="shared" si="18"/>
        <v>48.977984708125625</v>
      </c>
      <c r="M46" s="15">
        <f t="shared" si="9"/>
        <v>0.40000000000000019</v>
      </c>
      <c r="N46">
        <f t="shared" si="16"/>
        <v>1.8019396520733779</v>
      </c>
      <c r="O46">
        <f t="shared" si="1"/>
        <v>0.31428970424313851</v>
      </c>
      <c r="P46">
        <f t="shared" si="10"/>
        <v>-0.25471476129877513</v>
      </c>
      <c r="Q46">
        <f t="shared" si="11"/>
        <v>2.6726899461586573</v>
      </c>
      <c r="R46">
        <f t="shared" si="2"/>
        <v>-15.418711564197151</v>
      </c>
      <c r="S46">
        <f t="shared" si="3"/>
        <v>0.61826749854601193</v>
      </c>
      <c r="U46" s="15">
        <f t="shared" si="12"/>
        <v>0.40000000000000019</v>
      </c>
      <c r="V46">
        <f t="shared" si="17"/>
        <v>4.7414912760688246</v>
      </c>
      <c r="W46">
        <f t="shared" si="4"/>
        <v>0.25850872393117541</v>
      </c>
      <c r="X46">
        <f t="shared" si="13"/>
        <v>0.79773977891133985</v>
      </c>
      <c r="Y46">
        <f t="shared" si="14"/>
        <v>-1.971750661715177</v>
      </c>
      <c r="Z46">
        <f t="shared" si="5"/>
        <v>1.8019396520733779</v>
      </c>
      <c r="AA46">
        <f t="shared" si="6"/>
        <v>2.1162293563165164</v>
      </c>
    </row>
    <row r="47" spans="2:27" x14ac:dyDescent="0.25">
      <c r="H47" s="15">
        <f t="shared" si="7"/>
        <v>0.4100000000000002</v>
      </c>
      <c r="I47" s="9">
        <f t="shared" si="0"/>
        <v>29.935510698507631</v>
      </c>
      <c r="J47">
        <f t="shared" si="15"/>
        <v>30.141522975712213</v>
      </c>
      <c r="K47">
        <f t="shared" si="18"/>
        <v>49.000745024925777</v>
      </c>
      <c r="M47" s="15">
        <f t="shared" si="9"/>
        <v>0.4100000000000002</v>
      </c>
      <c r="N47">
        <f t="shared" si="16"/>
        <v>1.6477525364314065</v>
      </c>
      <c r="O47">
        <f t="shared" si="1"/>
        <v>0.33714956645722971</v>
      </c>
      <c r="P47">
        <f t="shared" si="10"/>
        <v>-0.25145756494527327</v>
      </c>
      <c r="Q47">
        <f t="shared" si="11"/>
        <v>2.2859862214091198</v>
      </c>
      <c r="R47">
        <f t="shared" si="2"/>
        <v>-14.00279539155337</v>
      </c>
      <c r="S47">
        <f t="shared" si="3"/>
        <v>0.56012882959781574</v>
      </c>
      <c r="U47" s="15">
        <f t="shared" si="12"/>
        <v>0.4100000000000002</v>
      </c>
      <c r="V47">
        <f t="shared" si="17"/>
        <v>4.759510672589558</v>
      </c>
      <c r="W47">
        <f t="shared" si="4"/>
        <v>0.24048932741044204</v>
      </c>
      <c r="X47">
        <f t="shared" si="13"/>
        <v>0.80023476916804792</v>
      </c>
      <c r="Y47">
        <f t="shared" si="14"/>
        <v>-1.8019396520733366</v>
      </c>
      <c r="Z47">
        <f t="shared" si="5"/>
        <v>1.6477525364314065</v>
      </c>
      <c r="AA47">
        <f t="shared" si="6"/>
        <v>1.9849021028886362</v>
      </c>
    </row>
    <row r="48" spans="2:27" x14ac:dyDescent="0.25">
      <c r="H48" s="15">
        <f t="shared" si="7"/>
        <v>0.42000000000000021</v>
      </c>
      <c r="I48" s="9">
        <f t="shared" si="0"/>
        <v>30.377408780649048</v>
      </c>
      <c r="J48">
        <f t="shared" si="15"/>
        <v>30.583771963408214</v>
      </c>
      <c r="K48">
        <f t="shared" si="18"/>
        <v>49.022998468663495</v>
      </c>
      <c r="M48" s="15">
        <f t="shared" si="9"/>
        <v>0.42000000000000021</v>
      </c>
      <c r="N48">
        <f t="shared" si="16"/>
        <v>1.5077245825158727</v>
      </c>
      <c r="O48">
        <f t="shared" si="1"/>
        <v>0.35654077382196969</v>
      </c>
      <c r="P48">
        <f t="shared" si="10"/>
        <v>-0.24798911324387726</v>
      </c>
      <c r="Q48">
        <f t="shared" si="11"/>
        <v>1.9391207364739982</v>
      </c>
      <c r="R48">
        <f t="shared" si="2"/>
        <v>-12.719555542388891</v>
      </c>
      <c r="S48">
        <f t="shared" si="3"/>
        <v>0.50747281121070698</v>
      </c>
      <c r="U48" s="15">
        <f t="shared" si="12"/>
        <v>0.42000000000000021</v>
      </c>
      <c r="V48">
        <f t="shared" si="17"/>
        <v>4.7759881979538719</v>
      </c>
      <c r="W48">
        <f t="shared" si="4"/>
        <v>0.22401180204612814</v>
      </c>
      <c r="X48">
        <f t="shared" si="13"/>
        <v>0.80255727481533079</v>
      </c>
      <c r="Y48">
        <f t="shared" si="14"/>
        <v>-1.6477525364313905</v>
      </c>
      <c r="Z48">
        <f t="shared" si="5"/>
        <v>1.5077245825158727</v>
      </c>
      <c r="AA48">
        <f t="shared" si="6"/>
        <v>1.8642653563378424</v>
      </c>
    </row>
    <row r="49" spans="8:27" x14ac:dyDescent="0.25">
      <c r="H49" s="15">
        <f t="shared" si="7"/>
        <v>0.43000000000000022</v>
      </c>
      <c r="I49" s="9">
        <f t="shared" si="0"/>
        <v>30.809574548547822</v>
      </c>
      <c r="J49">
        <f t="shared" si="15"/>
        <v>31.016172050461989</v>
      </c>
      <c r="K49">
        <f t="shared" si="18"/>
        <v>49.044756327419861</v>
      </c>
      <c r="M49" s="15">
        <f t="shared" si="9"/>
        <v>0.43000000000000022</v>
      </c>
      <c r="N49">
        <f t="shared" si="16"/>
        <v>1.3805290270919839</v>
      </c>
      <c r="O49">
        <f t="shared" si="1"/>
        <v>0.37282335630168806</v>
      </c>
      <c r="P49">
        <f t="shared" si="10"/>
        <v>-0.24434229259325899</v>
      </c>
      <c r="Q49">
        <f t="shared" si="11"/>
        <v>1.6282582479718366</v>
      </c>
      <c r="R49">
        <f t="shared" si="2"/>
        <v>-11.556494622904381</v>
      </c>
      <c r="S49">
        <f t="shared" si="3"/>
        <v>0.45978216788320037</v>
      </c>
      <c r="U49" s="15">
        <f t="shared" si="12"/>
        <v>0.43000000000000022</v>
      </c>
      <c r="V49">
        <f t="shared" si="17"/>
        <v>4.791065443779031</v>
      </c>
      <c r="W49">
        <f t="shared" si="4"/>
        <v>0.20893455622096901</v>
      </c>
      <c r="X49">
        <f t="shared" si="13"/>
        <v>0.80472200660666626</v>
      </c>
      <c r="Y49">
        <f t="shared" si="14"/>
        <v>-1.5077245825159125</v>
      </c>
      <c r="Z49">
        <f t="shared" si="5"/>
        <v>1.3805290270919839</v>
      </c>
      <c r="AA49">
        <f t="shared" si="6"/>
        <v>1.7533523833936719</v>
      </c>
    </row>
    <row r="50" spans="8:27" x14ac:dyDescent="0.25">
      <c r="H50" s="15">
        <f t="shared" si="7"/>
        <v>0.44000000000000022</v>
      </c>
      <c r="I50" s="9">
        <f t="shared" si="0"/>
        <v>31.232222345611049</v>
      </c>
      <c r="J50">
        <f t="shared" si="15"/>
        <v>31.438942572240176</v>
      </c>
      <c r="K50">
        <f t="shared" si="18"/>
        <v>49.06602963788999</v>
      </c>
      <c r="M50" s="15">
        <f t="shared" si="9"/>
        <v>0.44000000000000022</v>
      </c>
      <c r="N50">
        <f t="shared" si="16"/>
        <v>1.2649640808629401</v>
      </c>
      <c r="O50">
        <f t="shared" si="1"/>
        <v>0.38632259699165972</v>
      </c>
      <c r="P50">
        <f t="shared" si="10"/>
        <v>-0.24054656282679224</v>
      </c>
      <c r="Q50">
        <f t="shared" si="11"/>
        <v>1.3499240689971659</v>
      </c>
      <c r="R50">
        <f t="shared" si="2"/>
        <v>-10.502292994298047</v>
      </c>
      <c r="S50">
        <f t="shared" si="3"/>
        <v>0.41658837946067018</v>
      </c>
      <c r="U50" s="15">
        <f t="shared" si="12"/>
        <v>0.44000000000000022</v>
      </c>
      <c r="V50">
        <f t="shared" si="17"/>
        <v>4.8048707340499508</v>
      </c>
      <c r="W50">
        <f t="shared" si="4"/>
        <v>0.1951292659500492</v>
      </c>
      <c r="X50">
        <f t="shared" si="13"/>
        <v>0.80674232571752136</v>
      </c>
      <c r="Y50">
        <f t="shared" si="14"/>
        <v>-1.3805290270919812</v>
      </c>
      <c r="Z50">
        <f t="shared" si="5"/>
        <v>1.2649640808629401</v>
      </c>
      <c r="AA50">
        <f t="shared" si="6"/>
        <v>1.6512866778545998</v>
      </c>
    </row>
    <row r="51" spans="8:27" x14ac:dyDescent="0.25">
      <c r="H51" s="15">
        <f t="shared" si="7"/>
        <v>0.45000000000000023</v>
      </c>
      <c r="I51" s="9">
        <f t="shared" si="0"/>
        <v>31.645561794570465</v>
      </c>
      <c r="J51">
        <f t="shared" si="15"/>
        <v>31.85229797950301</v>
      </c>
      <c r="K51">
        <f t="shared" si="18"/>
        <v>49.086829190981398</v>
      </c>
      <c r="M51" s="15">
        <f t="shared" si="9"/>
        <v>0.45000000000000023</v>
      </c>
      <c r="N51">
        <f t="shared" si="16"/>
        <v>1.1599411509199595</v>
      </c>
      <c r="O51">
        <f t="shared" si="1"/>
        <v>0.39733231034563543</v>
      </c>
      <c r="P51">
        <f t="shared" si="10"/>
        <v>-0.23662828829010576</v>
      </c>
      <c r="Q51">
        <f t="shared" si="11"/>
        <v>1.1009713353975714</v>
      </c>
      <c r="R51">
        <f t="shared" si="2"/>
        <v>-9.5466981680457543</v>
      </c>
      <c r="S51">
        <f t="shared" si="3"/>
        <v>0.37746710740528222</v>
      </c>
      <c r="U51" s="15">
        <f t="shared" si="12"/>
        <v>0.45000000000000023</v>
      </c>
      <c r="V51">
        <f t="shared" si="17"/>
        <v>4.8175203748585798</v>
      </c>
      <c r="W51">
        <f t="shared" si="4"/>
        <v>0.18247962514142024</v>
      </c>
      <c r="X51">
        <f t="shared" si="13"/>
        <v>0.80863037017297867</v>
      </c>
      <c r="Y51">
        <f t="shared" si="14"/>
        <v>-1.2649640808628959</v>
      </c>
      <c r="Z51">
        <f t="shared" si="5"/>
        <v>1.1599411509199595</v>
      </c>
      <c r="AA51">
        <f t="shared" si="6"/>
        <v>1.557273461265595</v>
      </c>
    </row>
    <row r="52" spans="8:27" x14ac:dyDescent="0.25">
      <c r="H52" s="15">
        <f t="shared" si="7"/>
        <v>0.46000000000000024</v>
      </c>
      <c r="I52" s="9">
        <f t="shared" si="0"/>
        <v>32.049797901450056</v>
      </c>
      <c r="J52">
        <f t="shared" si="15"/>
        <v>32.256447947184697</v>
      </c>
      <c r="K52">
        <f t="shared" si="18"/>
        <v>49.10716553728772</v>
      </c>
      <c r="M52" s="15">
        <f t="shared" si="9"/>
        <v>0.46000000000000024</v>
      </c>
      <c r="N52">
        <f t="shared" si="16"/>
        <v>1.0644741692395019</v>
      </c>
      <c r="O52">
        <f t="shared" si="1"/>
        <v>0.4061178188871708</v>
      </c>
      <c r="P52">
        <f t="shared" si="10"/>
        <v>-0.23261103764394173</v>
      </c>
      <c r="Q52">
        <f t="shared" si="11"/>
        <v>0.87855085415353695</v>
      </c>
      <c r="R52">
        <f t="shared" si="2"/>
        <v>-8.6804244279608493</v>
      </c>
      <c r="S52">
        <f t="shared" si="3"/>
        <v>0.34203404190383169</v>
      </c>
      <c r="U52" s="15">
        <f t="shared" si="12"/>
        <v>0.46000000000000024</v>
      </c>
      <c r="V52">
        <f t="shared" si="17"/>
        <v>4.8291197863677793</v>
      </c>
      <c r="W52">
        <f t="shared" si="4"/>
        <v>0.17088021363222072</v>
      </c>
      <c r="X52">
        <f t="shared" si="13"/>
        <v>0.81039716936684691</v>
      </c>
      <c r="Y52">
        <f t="shared" si="14"/>
        <v>-1.159941150919952</v>
      </c>
      <c r="Z52">
        <f t="shared" si="5"/>
        <v>1.0644741692395019</v>
      </c>
      <c r="AA52">
        <f t="shared" si="6"/>
        <v>1.4705919881266727</v>
      </c>
    </row>
    <row r="53" spans="8:27" x14ac:dyDescent="0.25">
      <c r="H53" s="15">
        <f t="shared" si="7"/>
        <v>0.47000000000000025</v>
      </c>
      <c r="I53" s="9">
        <f t="shared" si="0"/>
        <v>32.445131157243921</v>
      </c>
      <c r="J53">
        <f t="shared" si="15"/>
        <v>32.651597480751221</v>
      </c>
      <c r="K53">
        <f t="shared" si="18"/>
        <v>49.127048992440486</v>
      </c>
      <c r="M53" s="15">
        <f t="shared" si="9"/>
        <v>0.47000000000000025</v>
      </c>
      <c r="N53">
        <f t="shared" si="16"/>
        <v>0.97766992495989335</v>
      </c>
      <c r="O53">
        <f t="shared" si="1"/>
        <v>0.41291865369828329</v>
      </c>
      <c r="P53">
        <f t="shared" si="10"/>
        <v>-0.22851585528101445</v>
      </c>
      <c r="Q53">
        <f t="shared" si="11"/>
        <v>0.68008348111124883</v>
      </c>
      <c r="R53">
        <f t="shared" si="2"/>
        <v>-7.8950617942380195</v>
      </c>
      <c r="S53">
        <f t="shared" si="3"/>
        <v>0.30994113419739311</v>
      </c>
      <c r="U53" s="15">
        <f t="shared" si="12"/>
        <v>0.47000000000000025</v>
      </c>
      <c r="V53">
        <f t="shared" si="17"/>
        <v>4.839764528060174</v>
      </c>
      <c r="W53">
        <f t="shared" si="4"/>
        <v>0.16023547193982601</v>
      </c>
      <c r="X53">
        <f t="shared" si="13"/>
        <v>0.81205274779470715</v>
      </c>
      <c r="Y53">
        <f t="shared" si="14"/>
        <v>-1.064474169239471</v>
      </c>
      <c r="Z53">
        <f t="shared" si="5"/>
        <v>0.97766992495989335</v>
      </c>
      <c r="AA53">
        <f t="shared" si="6"/>
        <v>1.3905885786581766</v>
      </c>
    </row>
    <row r="54" spans="8:27" x14ac:dyDescent="0.25">
      <c r="H54" s="15">
        <f t="shared" si="7"/>
        <v>0.48000000000000026</v>
      </c>
      <c r="I54" s="9">
        <f t="shared" si="0"/>
        <v>32.831757637354769</v>
      </c>
      <c r="J54">
        <f t="shared" si="15"/>
        <v>33.037947020189563</v>
      </c>
      <c r="K54">
        <f t="shared" si="18"/>
        <v>49.146489642341749</v>
      </c>
      <c r="M54" s="15">
        <f t="shared" si="9"/>
        <v>0.48000000000000026</v>
      </c>
      <c r="N54">
        <f t="shared" si="16"/>
        <v>0.89871930701751312</v>
      </c>
      <c r="O54">
        <f t="shared" si="1"/>
        <v>0.41795100278525366</v>
      </c>
      <c r="P54">
        <f t="shared" si="10"/>
        <v>-0.22436150699859678</v>
      </c>
      <c r="Q54">
        <f t="shared" si="11"/>
        <v>0.50323490869703669</v>
      </c>
      <c r="R54">
        <f t="shared" si="2"/>
        <v>-7.1829934979434267</v>
      </c>
      <c r="S54">
        <f t="shared" si="3"/>
        <v>0.28087318033550623</v>
      </c>
      <c r="U54" s="15">
        <f t="shared" si="12"/>
        <v>0.48000000000000026</v>
      </c>
      <c r="V54">
        <f t="shared" si="17"/>
        <v>4.8495412273097731</v>
      </c>
      <c r="W54">
        <f t="shared" si="4"/>
        <v>0.15045877269022689</v>
      </c>
      <c r="X54">
        <f t="shared" si="13"/>
        <v>0.81360621901785746</v>
      </c>
      <c r="Y54">
        <f t="shared" si="14"/>
        <v>-0.9776699249599119</v>
      </c>
      <c r="Z54">
        <f t="shared" si="5"/>
        <v>0.89871930701751312</v>
      </c>
      <c r="AA54">
        <f t="shared" si="6"/>
        <v>1.3166703098027668</v>
      </c>
    </row>
    <row r="55" spans="8:27" x14ac:dyDescent="0.25">
      <c r="H55" s="15">
        <f t="shared" si="7"/>
        <v>0.49000000000000027</v>
      </c>
      <c r="I55" s="9">
        <f t="shared" si="0"/>
        <v>33.209869098842489</v>
      </c>
      <c r="J55">
        <f t="shared" si="15"/>
        <v>33.415692541681089</v>
      </c>
      <c r="K55">
        <f t="shared" si="18"/>
        <v>49.165497348280162</v>
      </c>
      <c r="M55" s="15">
        <f t="shared" si="9"/>
        <v>0.49000000000000027</v>
      </c>
      <c r="N55">
        <f t="shared" si="16"/>
        <v>0.82688937203807888</v>
      </c>
      <c r="O55">
        <f t="shared" si="1"/>
        <v>0.42140992989377779</v>
      </c>
      <c r="P55">
        <f t="shared" si="10"/>
        <v>-0.22016470233520161</v>
      </c>
      <c r="Q55">
        <f t="shared" si="11"/>
        <v>0.34589271085241347</v>
      </c>
      <c r="R55">
        <f t="shared" si="2"/>
        <v>-6.5373211939288209</v>
      </c>
      <c r="S55">
        <f t="shared" si="3"/>
        <v>0.2545447247799284</v>
      </c>
      <c r="U55" s="15">
        <f t="shared" si="12"/>
        <v>0.49000000000000027</v>
      </c>
      <c r="V55">
        <f t="shared" si="17"/>
        <v>4.8585284203799484</v>
      </c>
      <c r="W55">
        <f t="shared" si="4"/>
        <v>0.14147157962005164</v>
      </c>
      <c r="X55">
        <f t="shared" si="13"/>
        <v>0.81506587077940884</v>
      </c>
      <c r="Y55">
        <f t="shared" si="14"/>
        <v>-0.89871930701752589</v>
      </c>
      <c r="Z55">
        <f t="shared" si="5"/>
        <v>0.82688937203807888</v>
      </c>
      <c r="AA55">
        <f t="shared" si="6"/>
        <v>1.2482993019318567</v>
      </c>
    </row>
    <row r="56" spans="8:27" x14ac:dyDescent="0.25">
      <c r="H56" s="15">
        <f>H55+$E$8</f>
        <v>0.50000000000000022</v>
      </c>
      <c r="I56" s="9">
        <f t="shared" si="0"/>
        <v>33.579653075530743</v>
      </c>
      <c r="J56">
        <f t="shared" si="15"/>
        <v>33.785025657010657</v>
      </c>
      <c r="K56">
        <f t="shared" si="18"/>
        <v>49.184081751933135</v>
      </c>
      <c r="M56" s="15">
        <f>M55+$E$8</f>
        <v>0.50000000000000022</v>
      </c>
      <c r="N56">
        <f t="shared" si="16"/>
        <v>0.76151616009879064</v>
      </c>
      <c r="O56">
        <f t="shared" si="1"/>
        <v>0.42347138467823597</v>
      </c>
      <c r="P56">
        <f t="shared" si="10"/>
        <v>-0.21594029576234153</v>
      </c>
      <c r="Q56">
        <f t="shared" si="11"/>
        <v>0.20614547844581832</v>
      </c>
      <c r="R56">
        <f t="shared" si="2"/>
        <v>-5.9517972013902751</v>
      </c>
      <c r="S56">
        <f t="shared" si="3"/>
        <v>0.23069725467077751</v>
      </c>
      <c r="U56" s="15">
        <f>U55+$E$8</f>
        <v>0.50000000000000022</v>
      </c>
      <c r="V56">
        <f t="shared" si="17"/>
        <v>4.8667973141003289</v>
      </c>
      <c r="W56">
        <f t="shared" si="4"/>
        <v>0.1332026858996711</v>
      </c>
      <c r="X56">
        <f t="shared" si="13"/>
        <v>0.81643924210700747</v>
      </c>
      <c r="Y56">
        <f t="shared" si="14"/>
        <v>-0.82688937203805324</v>
      </c>
      <c r="Z56">
        <f t="shared" si="5"/>
        <v>0.76151616009879064</v>
      </c>
      <c r="AA56">
        <f t="shared" si="6"/>
        <v>1.1849875447770266</v>
      </c>
    </row>
    <row r="57" spans="8:27" x14ac:dyDescent="0.25">
      <c r="H57" s="15">
        <f t="shared" si="7"/>
        <v>0.51000000000000023</v>
      </c>
      <c r="I57" s="9">
        <f t="shared" si="0"/>
        <v>33.941292971019138</v>
      </c>
      <c r="J57">
        <f t="shared" si="15"/>
        <v>34.146133710761866</v>
      </c>
      <c r="K57">
        <f t="shared" si="18"/>
        <v>49.202252280257582</v>
      </c>
      <c r="M57" s="15">
        <f t="shared" si="9"/>
        <v>0.51000000000000023</v>
      </c>
      <c r="N57">
        <f t="shared" si="16"/>
        <v>0.7019981880848879</v>
      </c>
      <c r="O57">
        <f t="shared" si="1"/>
        <v>0.42429402344990474</v>
      </c>
      <c r="P57">
        <f t="shared" si="10"/>
        <v>-0.21170146872170081</v>
      </c>
      <c r="Q57">
        <f t="shared" si="11"/>
        <v>8.2263877166877108E-2</v>
      </c>
      <c r="R57">
        <f t="shared" si="2"/>
        <v>-5.4207631208269902</v>
      </c>
      <c r="S57">
        <f t="shared" si="3"/>
        <v>0.2090966579370257</v>
      </c>
      <c r="U57" s="15">
        <f t="shared" si="12"/>
        <v>0.51000000000000023</v>
      </c>
      <c r="V57">
        <f t="shared" si="17"/>
        <v>4.874412475701317</v>
      </c>
      <c r="W57">
        <f t="shared" si="4"/>
        <v>0.12558752429868303</v>
      </c>
      <c r="X57">
        <f t="shared" si="13"/>
        <v>0.81773319315799919</v>
      </c>
      <c r="Y57">
        <f t="shared" si="14"/>
        <v>-0.7615161600988074</v>
      </c>
      <c r="Z57">
        <f t="shared" si="5"/>
        <v>0.7019981880848879</v>
      </c>
      <c r="AA57">
        <f t="shared" si="6"/>
        <v>1.1262922115347926</v>
      </c>
    </row>
    <row r="58" spans="8:27" x14ac:dyDescent="0.25">
      <c r="H58" s="15">
        <f t="shared" si="7"/>
        <v>0.52000000000000024</v>
      </c>
      <c r="I58" s="9">
        <f t="shared" si="0"/>
        <v>34.29496814964677</v>
      </c>
      <c r="J58">
        <f t="shared" si="15"/>
        <v>34.499199875347806</v>
      </c>
      <c r="K58">
        <f t="shared" si="18"/>
        <v>49.220018150271756</v>
      </c>
      <c r="M58" s="15">
        <f t="shared" si="9"/>
        <v>0.52000000000000024</v>
      </c>
      <c r="N58">
        <f t="shared" si="16"/>
        <v>0.64779055687661802</v>
      </c>
      <c r="O58">
        <f t="shared" si="1"/>
        <v>0.42402085809492918</v>
      </c>
      <c r="P58">
        <f t="shared" si="10"/>
        <v>-0.20745989431397666</v>
      </c>
      <c r="Q58">
        <f t="shared" si="11"/>
        <v>-2.731653549755686E-2</v>
      </c>
      <c r="R58">
        <f t="shared" si="2"/>
        <v>-4.9390942331205858</v>
      </c>
      <c r="S58">
        <f t="shared" si="3"/>
        <v>0.18953092073500055</v>
      </c>
      <c r="U58" s="15">
        <f t="shared" si="12"/>
        <v>0.52000000000000024</v>
      </c>
      <c r="V58">
        <f t="shared" si="17"/>
        <v>4.8814324575821662</v>
      </c>
      <c r="W58">
        <f t="shared" si="4"/>
        <v>0.11856754241783385</v>
      </c>
      <c r="X58">
        <f t="shared" si="13"/>
        <v>0.81895396849158175</v>
      </c>
      <c r="Y58">
        <f t="shared" si="14"/>
        <v>-0.70199818808491798</v>
      </c>
      <c r="Z58">
        <f t="shared" si="5"/>
        <v>0.64779055687661802</v>
      </c>
      <c r="AA58">
        <f t="shared" si="6"/>
        <v>1.0718114149715472</v>
      </c>
    </row>
    <row r="59" spans="8:27" x14ac:dyDescent="0.25">
      <c r="H59" s="15">
        <f t="shared" si="7"/>
        <v>0.53000000000000025</v>
      </c>
      <c r="I59" s="9">
        <f t="shared" si="0"/>
        <v>34.64085402545247</v>
      </c>
      <c r="J59">
        <f t="shared" si="15"/>
        <v>34.844403243925427</v>
      </c>
      <c r="K59">
        <f t="shared" si="18"/>
        <v>49.237388373730568</v>
      </c>
      <c r="M59" s="15">
        <f t="shared" si="9"/>
        <v>0.53000000000000025</v>
      </c>
      <c r="N59">
        <f t="shared" si="16"/>
        <v>0.59839961454541213</v>
      </c>
      <c r="O59">
        <f t="shared" si="1"/>
        <v>0.42278074920509956</v>
      </c>
      <c r="P59">
        <f t="shared" si="10"/>
        <v>-0.20322588627747651</v>
      </c>
      <c r="Q59">
        <f t="shared" si="11"/>
        <v>-0.12401088898296164</v>
      </c>
      <c r="R59">
        <f t="shared" si="2"/>
        <v>-4.5021491396935751</v>
      </c>
      <c r="S59">
        <f t="shared" si="3"/>
        <v>0.17180804186701304</v>
      </c>
      <c r="U59" s="15">
        <f t="shared" si="12"/>
        <v>0.53000000000000025</v>
      </c>
      <c r="V59">
        <f t="shared" si="17"/>
        <v>4.8879103631509322</v>
      </c>
      <c r="W59">
        <f t="shared" si="4"/>
        <v>0.11208963684906781</v>
      </c>
      <c r="X59">
        <f t="shared" si="13"/>
        <v>0.82010725438791621</v>
      </c>
      <c r="Y59">
        <f t="shared" si="14"/>
        <v>-0.64779055687660403</v>
      </c>
      <c r="Z59">
        <f t="shared" si="5"/>
        <v>0.59839961454541213</v>
      </c>
      <c r="AA59">
        <f t="shared" si="6"/>
        <v>1.0211803637505117</v>
      </c>
    </row>
    <row r="60" spans="8:27" x14ac:dyDescent="0.25">
      <c r="H60" s="15">
        <f t="shared" si="7"/>
        <v>0.54000000000000026</v>
      </c>
      <c r="I60" s="9">
        <f t="shared" si="0"/>
        <v>34.979122149175801</v>
      </c>
      <c r="J60">
        <f t="shared" si="15"/>
        <v>35.181918921240722</v>
      </c>
      <c r="K60">
        <f t="shared" si="18"/>
        <v>49.254371761696845</v>
      </c>
      <c r="M60" s="15">
        <f t="shared" si="9"/>
        <v>0.54000000000000026</v>
      </c>
      <c r="N60">
        <f t="shared" si="16"/>
        <v>0.55337812314847634</v>
      </c>
      <c r="O60">
        <f t="shared" si="1"/>
        <v>0.42068975802220476</v>
      </c>
      <c r="P60">
        <f t="shared" si="10"/>
        <v>-0.19900853374133998</v>
      </c>
      <c r="Q60">
        <f t="shared" si="11"/>
        <v>-0.20909911828947969</v>
      </c>
      <c r="R60">
        <f t="shared" si="2"/>
        <v>-4.1057241518897385</v>
      </c>
      <c r="S60">
        <f t="shared" si="3"/>
        <v>0.15575414384518516</v>
      </c>
      <c r="U60" s="15">
        <f t="shared" si="12"/>
        <v>0.54000000000000026</v>
      </c>
      <c r="V60">
        <f t="shared" si="17"/>
        <v>4.8938943592963859</v>
      </c>
      <c r="W60">
        <f t="shared" si="4"/>
        <v>0.10610564070361406</v>
      </c>
      <c r="X60">
        <f t="shared" si="13"/>
        <v>0.82119823077567966</v>
      </c>
      <c r="Y60">
        <f t="shared" si="14"/>
        <v>-0.59839961454537516</v>
      </c>
      <c r="Z60">
        <f t="shared" si="5"/>
        <v>0.55337812314847634</v>
      </c>
      <c r="AA60">
        <f t="shared" si="6"/>
        <v>0.9740678811706811</v>
      </c>
    </row>
    <row r="61" spans="8:27" x14ac:dyDescent="0.25">
      <c r="H61" s="15">
        <f t="shared" si="7"/>
        <v>0.55000000000000027</v>
      </c>
      <c r="I61" s="9">
        <f t="shared" si="0"/>
        <v>35.309940293341874</v>
      </c>
      <c r="J61">
        <f t="shared" si="15"/>
        <v>35.511918112450786</v>
      </c>
      <c r="K61">
        <f t="shared" si="18"/>
        <v>49.270976929010722</v>
      </c>
      <c r="M61" s="15">
        <f t="shared" si="9"/>
        <v>0.55000000000000027</v>
      </c>
      <c r="N61">
        <f t="shared" si="16"/>
        <v>0.51232088162957901</v>
      </c>
      <c r="O61">
        <f t="shared" si="1"/>
        <v>0.41785237046174295</v>
      </c>
      <c r="P61">
        <f t="shared" si="10"/>
        <v>-0.19481582309892023</v>
      </c>
      <c r="Q61">
        <f t="shared" si="11"/>
        <v>-0.28373875604618126</v>
      </c>
      <c r="R61">
        <f t="shared" si="2"/>
        <v>-3.7460119830971652</v>
      </c>
      <c r="S61">
        <f t="shared" si="3"/>
        <v>0.14121176213157705</v>
      </c>
      <c r="U61" s="15">
        <f t="shared" si="12"/>
        <v>0.55000000000000027</v>
      </c>
      <c r="V61">
        <f t="shared" si="17"/>
        <v>4.8994281405278706</v>
      </c>
      <c r="W61">
        <f t="shared" si="4"/>
        <v>0.10057185947212943</v>
      </c>
      <c r="X61">
        <f t="shared" si="13"/>
        <v>0.82223161827655833</v>
      </c>
      <c r="Y61">
        <f t="shared" si="14"/>
        <v>-0.55337812314846246</v>
      </c>
      <c r="Z61">
        <f t="shared" si="5"/>
        <v>0.51232088162957901</v>
      </c>
      <c r="AA61">
        <f t="shared" si="6"/>
        <v>0.93017325209132196</v>
      </c>
    </row>
    <row r="62" spans="8:27" x14ac:dyDescent="0.25">
      <c r="H62" s="15">
        <f t="shared" si="7"/>
        <v>0.56000000000000028</v>
      </c>
      <c r="I62" s="9">
        <f t="shared" si="0"/>
        <v>35.633472535472364</v>
      </c>
      <c r="J62">
        <f t="shared" si="15"/>
        <v>35.834568209967777</v>
      </c>
      <c r="K62">
        <f t="shared" si="18"/>
        <v>49.287212298659547</v>
      </c>
      <c r="M62" s="15">
        <f t="shared" si="9"/>
        <v>0.56000000000000028</v>
      </c>
      <c r="N62">
        <f t="shared" si="16"/>
        <v>0.47486076179860737</v>
      </c>
      <c r="O62">
        <f t="shared" si="1"/>
        <v>0.41436260525659252</v>
      </c>
      <c r="P62">
        <f t="shared" si="10"/>
        <v>-0.19065474822032855</v>
      </c>
      <c r="Q62">
        <f t="shared" si="11"/>
        <v>-0.34897652051504302</v>
      </c>
      <c r="R62">
        <f t="shared" si="2"/>
        <v>-3.4195643385850736</v>
      </c>
      <c r="S62">
        <f t="shared" si="3"/>
        <v>0.12803829579360815</v>
      </c>
      <c r="U62" s="15">
        <f t="shared" si="12"/>
        <v>0.56000000000000028</v>
      </c>
      <c r="V62">
        <f t="shared" si="17"/>
        <v>4.9045513493441666</v>
      </c>
      <c r="W62">
        <f t="shared" si="4"/>
        <v>9.5448650655833411E-2</v>
      </c>
      <c r="X62">
        <f t="shared" si="13"/>
        <v>0.82321172082719818</v>
      </c>
      <c r="Y62">
        <f t="shared" si="14"/>
        <v>-0.5123208816296021</v>
      </c>
      <c r="Z62">
        <f t="shared" si="5"/>
        <v>0.47486076179860737</v>
      </c>
      <c r="AA62">
        <f t="shared" si="6"/>
        <v>0.88922336705519989</v>
      </c>
    </row>
    <row r="63" spans="8:27" x14ac:dyDescent="0.25">
      <c r="H63" s="15">
        <f t="shared" si="7"/>
        <v>0.57000000000000028</v>
      </c>
      <c r="I63" s="9">
        <f t="shared" si="0"/>
        <v>35.949879339463862</v>
      </c>
      <c r="J63">
        <f t="shared" si="15"/>
        <v>36.150032878368911</v>
      </c>
      <c r="K63">
        <f t="shared" si="18"/>
        <v>49.303086106050436</v>
      </c>
      <c r="M63" s="15">
        <f t="shared" si="9"/>
        <v>0.57000000000000028</v>
      </c>
      <c r="N63">
        <f t="shared" si="16"/>
        <v>0.44066511841275663</v>
      </c>
      <c r="O63">
        <f t="shared" si="1"/>
        <v>0.41030501714209094</v>
      </c>
      <c r="P63">
        <f t="shared" si="10"/>
        <v>-0.18653141010833513</v>
      </c>
      <c r="Q63">
        <f t="shared" si="11"/>
        <v>-0.40575881145015757</v>
      </c>
      <c r="R63">
        <f t="shared" si="2"/>
        <v>-3.1232580357916606</v>
      </c>
      <c r="S63">
        <f t="shared" si="3"/>
        <v>0.11610460437199527</v>
      </c>
      <c r="U63" s="15">
        <f t="shared" si="12"/>
        <v>0.57000000000000028</v>
      </c>
      <c r="V63">
        <f t="shared" si="17"/>
        <v>4.9092999569621529</v>
      </c>
      <c r="W63">
        <f t="shared" si="4"/>
        <v>9.0700043037847067E-2</v>
      </c>
      <c r="X63">
        <f t="shared" si="13"/>
        <v>0.82414246429566662</v>
      </c>
      <c r="Y63">
        <f t="shared" si="14"/>
        <v>-0.47486076179863446</v>
      </c>
      <c r="Z63">
        <f t="shared" si="5"/>
        <v>0.44066511841275663</v>
      </c>
      <c r="AA63">
        <f t="shared" si="6"/>
        <v>0.85097013555484757</v>
      </c>
    </row>
    <row r="64" spans="8:27" x14ac:dyDescent="0.25">
      <c r="H64" s="15">
        <f t="shared" si="7"/>
        <v>0.58000000000000029</v>
      </c>
      <c r="I64" s="9">
        <f t="shared" si="0"/>
        <v>36.259317635173915</v>
      </c>
      <c r="J64">
        <f t="shared" si="15"/>
        <v>36.458472137415463</v>
      </c>
      <c r="K64">
        <f t="shared" si="18"/>
        <v>49.318606403187701</v>
      </c>
      <c r="M64" s="15">
        <f t="shared" si="9"/>
        <v>0.58000000000000029</v>
      </c>
      <c r="N64">
        <f t="shared" si="16"/>
        <v>0.40943253805484003</v>
      </c>
      <c r="O64">
        <f t="shared" si="1"/>
        <v>0.40575560498342478</v>
      </c>
      <c r="P64">
        <f t="shared" si="10"/>
        <v>-0.18245110699770756</v>
      </c>
      <c r="Q64">
        <f t="shared" si="11"/>
        <v>-0.45494121586661662</v>
      </c>
      <c r="R64">
        <f t="shared" si="2"/>
        <v>-2.8542643222108484</v>
      </c>
      <c r="S64">
        <f t="shared" si="3"/>
        <v>0.10529373718035434</v>
      </c>
      <c r="U64" s="15">
        <f t="shared" si="12"/>
        <v>0.58000000000000029</v>
      </c>
      <c r="V64">
        <f t="shared" si="17"/>
        <v>4.9137066081462804</v>
      </c>
      <c r="W64">
        <f t="shared" si="4"/>
        <v>8.6293391853719648E-2</v>
      </c>
      <c r="X64">
        <f t="shared" si="13"/>
        <v>0.82502743147012447</v>
      </c>
      <c r="Y64">
        <f t="shared" si="14"/>
        <v>-0.44066511841274192</v>
      </c>
      <c r="Z64">
        <f t="shared" si="5"/>
        <v>0.40943253805484003</v>
      </c>
      <c r="AA64">
        <f t="shared" si="6"/>
        <v>0.81518814303826481</v>
      </c>
    </row>
    <row r="65" spans="8:27" x14ac:dyDescent="0.25">
      <c r="H65" s="15">
        <f t="shared" si="7"/>
        <v>0.5900000000000003</v>
      </c>
      <c r="I65" s="9">
        <f t="shared" si="0"/>
        <v>36.561940896254349</v>
      </c>
      <c r="J65">
        <f t="shared" si="15"/>
        <v>36.760042443222936</v>
      </c>
      <c r="K65">
        <f t="shared" si="18"/>
        <v>49.333781062757225</v>
      </c>
      <c r="M65" s="15">
        <f t="shared" si="9"/>
        <v>0.5900000000000003</v>
      </c>
      <c r="N65">
        <f t="shared" si="16"/>
        <v>0.38088989483273156</v>
      </c>
      <c r="O65">
        <f t="shared" si="1"/>
        <v>0.40078263381789431</v>
      </c>
      <c r="P65">
        <f t="shared" si="10"/>
        <v>-0.17841841580370096</v>
      </c>
      <c r="Q65">
        <f t="shared" si="11"/>
        <v>-0.49729711655304709</v>
      </c>
      <c r="R65">
        <f t="shared" si="2"/>
        <v>-2.6100210892848676</v>
      </c>
      <c r="S65">
        <f t="shared" si="3"/>
        <v>9.5499782548246703E-2</v>
      </c>
      <c r="U65" s="15">
        <f t="shared" si="12"/>
        <v>0.5900000000000003</v>
      </c>
      <c r="V65">
        <f t="shared" si="17"/>
        <v>4.9178009335268289</v>
      </c>
      <c r="W65">
        <f t="shared" si="4"/>
        <v>8.2199066473171101E-2</v>
      </c>
      <c r="X65">
        <f t="shared" si="13"/>
        <v>0.8258698937617589</v>
      </c>
      <c r="Y65">
        <f t="shared" si="14"/>
        <v>-0.40943253805485469</v>
      </c>
      <c r="Z65">
        <f t="shared" si="5"/>
        <v>0.38088989483273156</v>
      </c>
      <c r="AA65">
        <f t="shared" si="6"/>
        <v>0.78167252865062586</v>
      </c>
    </row>
    <row r="66" spans="8:27" x14ac:dyDescent="0.25">
      <c r="H66" s="15">
        <f t="shared" si="7"/>
        <v>0.60000000000000031</v>
      </c>
      <c r="I66" s="9">
        <f t="shared" si="0"/>
        <v>36.857899216270319</v>
      </c>
      <c r="J66">
        <f t="shared" si="15"/>
        <v>37.05489676762361</v>
      </c>
      <c r="K66">
        <f t="shared" si="18"/>
        <v>49.348617782119902</v>
      </c>
      <c r="M66" s="15">
        <f t="shared" si="9"/>
        <v>0.60000000000000031</v>
      </c>
      <c r="N66">
        <f t="shared" si="16"/>
        <v>0.35478968393988286</v>
      </c>
      <c r="O66">
        <f t="shared" si="1"/>
        <v>0.39544737894185988</v>
      </c>
      <c r="P66">
        <f t="shared" si="10"/>
        <v>-0.1744372657399022</v>
      </c>
      <c r="Q66">
        <f t="shared" si="11"/>
        <v>-0.53352548760344232</v>
      </c>
      <c r="R66">
        <f t="shared" si="2"/>
        <v>-2.3882077090540874</v>
      </c>
      <c r="S66">
        <f t="shared" si="3"/>
        <v>8.6626825691825726E-2</v>
      </c>
      <c r="U66" s="15">
        <f t="shared" si="12"/>
        <v>0.60000000000000031</v>
      </c>
      <c r="V66">
        <f t="shared" si="17"/>
        <v>4.9216098324751565</v>
      </c>
      <c r="W66">
        <f t="shared" si="4"/>
        <v>7.8390167524843513E-2</v>
      </c>
      <c r="X66">
        <f t="shared" si="13"/>
        <v>0.826672839931749</v>
      </c>
      <c r="Y66">
        <f t="shared" si="14"/>
        <v>-0.38088989483275881</v>
      </c>
      <c r="Z66">
        <f t="shared" si="5"/>
        <v>0.35478968393988286</v>
      </c>
      <c r="AA66">
        <f t="shared" si="6"/>
        <v>0.75023706288174274</v>
      </c>
    </row>
    <row r="67" spans="8:27" x14ac:dyDescent="0.25">
      <c r="H67" s="15">
        <f t="shared" si="7"/>
        <v>0.61000000000000032</v>
      </c>
      <c r="I67" s="9">
        <f t="shared" si="0"/>
        <v>37.147339383143013</v>
      </c>
      <c r="J67">
        <f t="shared" si="15"/>
        <v>37.34318467576162</v>
      </c>
      <c r="K67">
        <f t="shared" si="18"/>
        <v>49.363124087216121</v>
      </c>
      <c r="M67" s="15">
        <f t="shared" si="9"/>
        <v>0.61000000000000032</v>
      </c>
      <c r="N67">
        <f t="shared" si="16"/>
        <v>0.33090760684934201</v>
      </c>
      <c r="O67">
        <f t="shared" si="1"/>
        <v>0.38980479940607377</v>
      </c>
      <c r="P67">
        <f t="shared" si="10"/>
        <v>-0.17051100484816253</v>
      </c>
      <c r="Q67">
        <f t="shared" si="11"/>
        <v>-0.56425795357861186</v>
      </c>
      <c r="R67">
        <f t="shared" si="2"/>
        <v>-2.1867222461070841</v>
      </c>
      <c r="S67">
        <f t="shared" si="3"/>
        <v>7.858800496445123E-2</v>
      </c>
      <c r="U67" s="15">
        <f t="shared" si="12"/>
        <v>0.61000000000000032</v>
      </c>
      <c r="V67">
        <f t="shared" si="17"/>
        <v>4.925157729314555</v>
      </c>
      <c r="W67">
        <f t="shared" si="4"/>
        <v>7.4842270685445023E-2</v>
      </c>
      <c r="X67">
        <f t="shared" si="13"/>
        <v>0.82743900212280042</v>
      </c>
      <c r="Y67">
        <f t="shared" si="14"/>
        <v>-0.354789683939849</v>
      </c>
      <c r="Z67">
        <f t="shared" si="5"/>
        <v>0.33090760684934201</v>
      </c>
      <c r="AA67">
        <f t="shared" si="6"/>
        <v>0.72071240625541577</v>
      </c>
    </row>
    <row r="68" spans="8:27" x14ac:dyDescent="0.25">
      <c r="H68" s="15">
        <f t="shared" si="7"/>
        <v>0.62000000000000033</v>
      </c>
      <c r="I68" s="9">
        <f t="shared" si="0"/>
        <v>37.430404951952738</v>
      </c>
      <c r="J68">
        <f t="shared" si="15"/>
        <v>37.625052401960048</v>
      </c>
      <c r="K68">
        <f t="shared" si="18"/>
        <v>49.377307336383325</v>
      </c>
      <c r="M68" s="15">
        <f t="shared" si="9"/>
        <v>0.62000000000000033</v>
      </c>
      <c r="N68">
        <f t="shared" si="16"/>
        <v>0.30904038438827119</v>
      </c>
      <c r="O68">
        <f t="shared" si="1"/>
        <v>0.38390414759047142</v>
      </c>
      <c r="P68">
        <f t="shared" si="10"/>
        <v>-0.16664246011317982</v>
      </c>
      <c r="Q68">
        <f t="shared" si="11"/>
        <v>-0.59006518156023424</v>
      </c>
      <c r="R68">
        <f t="shared" si="2"/>
        <v>-2.0036608206118411</v>
      </c>
      <c r="S68">
        <f t="shared" si="3"/>
        <v>7.1304657200558619E-2</v>
      </c>
      <c r="U68" s="15">
        <f t="shared" si="12"/>
        <v>0.62000000000000033</v>
      </c>
      <c r="V68">
        <f t="shared" si="17"/>
        <v>4.9284668053830485</v>
      </c>
      <c r="W68">
        <f t="shared" si="4"/>
        <v>7.1533194616951512E-2</v>
      </c>
      <c r="X68">
        <f t="shared" si="13"/>
        <v>0.82817087944931245</v>
      </c>
      <c r="Y68">
        <f t="shared" si="14"/>
        <v>-0.33090760684935105</v>
      </c>
      <c r="Z68">
        <f t="shared" si="5"/>
        <v>0.30904038438827119</v>
      </c>
      <c r="AA68">
        <f t="shared" si="6"/>
        <v>0.69294453197874262</v>
      </c>
    </row>
    <row r="69" spans="8:27" x14ac:dyDescent="0.25">
      <c r="H69" s="15">
        <f t="shared" si="7"/>
        <v>0.63000000000000034</v>
      </c>
      <c r="I69" s="9">
        <f t="shared" si="0"/>
        <v>37.707236316138676</v>
      </c>
      <c r="J69">
        <f t="shared" si="15"/>
        <v>37.900642923898403</v>
      </c>
      <c r="K69">
        <f t="shared" si="18"/>
        <v>49.391174724088508</v>
      </c>
      <c r="M69" s="15">
        <f t="shared" si="9"/>
        <v>0.63000000000000034</v>
      </c>
      <c r="N69">
        <f t="shared" si="16"/>
        <v>0.28900377618215278</v>
      </c>
      <c r="O69">
        <f t="shared" si="1"/>
        <v>0.37778952090051698</v>
      </c>
      <c r="P69">
        <f t="shared" si="10"/>
        <v>-0.16283399177072488</v>
      </c>
      <c r="Q69">
        <f t="shared" si="11"/>
        <v>-0.61146266899544388</v>
      </c>
      <c r="R69">
        <f t="shared" si="2"/>
        <v>-1.8372989193715463</v>
      </c>
      <c r="S69">
        <f t="shared" si="3"/>
        <v>6.4705543742544891E-2</v>
      </c>
      <c r="U69" s="15">
        <f t="shared" si="12"/>
        <v>0.63000000000000034</v>
      </c>
      <c r="V69">
        <f t="shared" si="17"/>
        <v>4.9315572092269315</v>
      </c>
      <c r="W69">
        <f t="shared" si="4"/>
        <v>6.8442790773068474E-2</v>
      </c>
      <c r="X69">
        <f t="shared" si="13"/>
        <v>0.82887075937626253</v>
      </c>
      <c r="Y69">
        <f t="shared" si="14"/>
        <v>-0.30904038438830383</v>
      </c>
      <c r="Z69">
        <f t="shared" si="5"/>
        <v>0.28900377618215278</v>
      </c>
      <c r="AA69">
        <f t="shared" si="6"/>
        <v>0.66679329708266977</v>
      </c>
    </row>
    <row r="70" spans="8:27" x14ac:dyDescent="0.25">
      <c r="H70" s="15">
        <f t="shared" si="7"/>
        <v>0.64000000000000035</v>
      </c>
      <c r="I70" s="9">
        <f t="shared" si="0"/>
        <v>37.977970777130508</v>
      </c>
      <c r="J70">
        <f t="shared" si="15"/>
        <v>38.170096035138201</v>
      </c>
      <c r="K70">
        <f t="shared" si="18"/>
        <v>49.404733284577624</v>
      </c>
      <c r="M70" s="15">
        <f t="shared" si="9"/>
        <v>0.64000000000000035</v>
      </c>
      <c r="N70">
        <f t="shared" si="16"/>
        <v>0.27063078698843734</v>
      </c>
      <c r="O70">
        <f t="shared" si="1"/>
        <v>0.37150036105542339</v>
      </c>
      <c r="P70">
        <f t="shared" si="10"/>
        <v>-0.15908754236094519</v>
      </c>
      <c r="Q70">
        <f t="shared" si="11"/>
        <v>-0.62891598450935948</v>
      </c>
      <c r="R70">
        <f t="shared" si="2"/>
        <v>-1.6860744711019509</v>
      </c>
      <c r="S70">
        <f t="shared" si="3"/>
        <v>5.8726149538972816E-2</v>
      </c>
      <c r="U70" s="15">
        <f t="shared" si="12"/>
        <v>0.64000000000000035</v>
      </c>
      <c r="V70">
        <f t="shared" si="17"/>
        <v>4.9344472469887535</v>
      </c>
      <c r="W70">
        <f t="shared" si="4"/>
        <v>6.5552753011246523E-2</v>
      </c>
      <c r="X70">
        <f t="shared" si="13"/>
        <v>0.82954073709518406</v>
      </c>
      <c r="Y70">
        <f t="shared" si="14"/>
        <v>-0.28900377618219508</v>
      </c>
      <c r="Z70">
        <f t="shared" si="5"/>
        <v>0.27063078698843734</v>
      </c>
      <c r="AA70">
        <f t="shared" si="6"/>
        <v>0.64213114804386073</v>
      </c>
    </row>
    <row r="71" spans="8:27" x14ac:dyDescent="0.25">
      <c r="H71" s="15">
        <f t="shared" si="7"/>
        <v>0.65000000000000036</v>
      </c>
      <c r="I71" s="9">
        <f t="shared" ref="I71:I134" si="19">DEGREES(-2*$E$5/$C$6*$C$9/$C$8*$C$18*(1-EXP(-$C$20*H71)))</f>
        <v>38.242742612446499</v>
      </c>
      <c r="J71">
        <f t="shared" si="15"/>
        <v>38.433548416033389</v>
      </c>
      <c r="K71">
        <f t="shared" si="18"/>
        <v>49.417989895443739</v>
      </c>
      <c r="M71" s="15">
        <f t="shared" si="9"/>
        <v>0.65000000000000036</v>
      </c>
      <c r="N71">
        <f t="shared" si="16"/>
        <v>0.25377004227741784</v>
      </c>
      <c r="O71">
        <f t="shared" ref="O71:O134" si="20">AA71-N71</f>
        <v>0.36507190592472449</v>
      </c>
      <c r="P71">
        <f t="shared" si="10"/>
        <v>-0.15540468102604446</v>
      </c>
      <c r="Q71">
        <f t="shared" si="11"/>
        <v>-0.64284551306988957</v>
      </c>
      <c r="R71">
        <f t="shared" ref="R71:R134" si="21">DEGREES($E$6*$C$5*$C$6^2*$E$5/(4*$C$7)*$C$8*RADIANS(N71)+$E$6*$C$5*$C$6*$E$5^2/(2*$C$7)*$C$9*RADIANS(S71))</f>
        <v>-1.5485725193016064</v>
      </c>
      <c r="S71">
        <f t="shared" ref="S71:S134" si="22">MAX(MIN($C$34*O71+$C$35*P71+$C$36*Q71,21.5),-21.5)</f>
        <v>5.3308048411472186E-2</v>
      </c>
      <c r="U71" s="15">
        <f t="shared" si="12"/>
        <v>0.65000000000000036</v>
      </c>
      <c r="V71">
        <f t="shared" si="17"/>
        <v>4.9371535548586376</v>
      </c>
      <c r="W71">
        <f t="shared" ref="W71:W134" si="23">$E$9-V71</f>
        <v>6.2846445141362395E-2</v>
      </c>
      <c r="X71">
        <f t="shared" si="13"/>
        <v>0.83018273308594714</v>
      </c>
      <c r="Y71">
        <f t="shared" si="14"/>
        <v>-0.27063078698841281</v>
      </c>
      <c r="Z71">
        <f t="shared" ref="Z71:Z134" si="24">N71</f>
        <v>0.25377004227741784</v>
      </c>
      <c r="AA71">
        <f t="shared" ref="AA71:AA134" si="25">$C$39*W71+$C$40*X71+$C$41*Y71</f>
        <v>0.61884194820214233</v>
      </c>
    </row>
    <row r="72" spans="8:27" x14ac:dyDescent="0.25">
      <c r="H72" s="15">
        <f t="shared" ref="H72:H135" si="26">H71+$E$8</f>
        <v>0.66000000000000036</v>
      </c>
      <c r="I72" s="9">
        <f t="shared" si="19"/>
        <v>38.501683142291746</v>
      </c>
      <c r="J72">
        <f t="shared" si="15"/>
        <v>38.691133703061588</v>
      </c>
      <c r="K72">
        <f t="shared" si="18"/>
        <v>49.430951281115661</v>
      </c>
      <c r="M72" s="15">
        <f t="shared" ref="M72:M135" si="27">M71+$E$8</f>
        <v>0.66000000000000036</v>
      </c>
      <c r="N72">
        <f t="shared" si="16"/>
        <v>0.23828431708440179</v>
      </c>
      <c r="O72">
        <f t="shared" si="20"/>
        <v>0.35853559839994431</v>
      </c>
      <c r="P72">
        <f t="shared" ref="P72:P135" si="28">IF(ABS(S71)&gt;21, P71, P71+(O72+O71)*$E$8/2)</f>
        <v>-0.15178664350442111</v>
      </c>
      <c r="Q72">
        <f t="shared" ref="Q72:Q135" si="29">(O72-O71)/$E$8</f>
        <v>-0.65363075247801827</v>
      </c>
      <c r="R72">
        <f t="shared" si="21"/>
        <v>-1.4235113419595109</v>
      </c>
      <c r="S72">
        <f t="shared" si="22"/>
        <v>4.839832824699708E-2</v>
      </c>
      <c r="U72" s="15">
        <f t="shared" ref="U72:U135" si="30">U71+$E$8</f>
        <v>0.66000000000000036</v>
      </c>
      <c r="V72">
        <f t="shared" si="17"/>
        <v>4.9396912552814118</v>
      </c>
      <c r="W72">
        <f t="shared" si="23"/>
        <v>6.0308744718588159E-2</v>
      </c>
      <c r="X72">
        <f t="shared" ref="X72:X135" si="31">X71+(W72+W71)*$E$8/2</f>
        <v>0.83079850903524688</v>
      </c>
      <c r="Y72">
        <f t="shared" ref="Y72:Y135" si="32">(W72-W71)/$E$8</f>
        <v>-0.25377004227742361</v>
      </c>
      <c r="Z72">
        <f t="shared" si="24"/>
        <v>0.23828431708440179</v>
      </c>
      <c r="AA72">
        <f t="shared" si="25"/>
        <v>0.5968199154843461</v>
      </c>
    </row>
    <row r="73" spans="8:27" x14ac:dyDescent="0.25">
      <c r="H73" s="15">
        <f t="shared" si="26"/>
        <v>0.67000000000000037</v>
      </c>
      <c r="I73" s="9">
        <f t="shared" si="19"/>
        <v>38.754920794689788</v>
      </c>
      <c r="J73">
        <f t="shared" ref="J73:J136" si="33">J72+$E$8*DEGREES($E$6*$C$5*$C$6^2*$E$5/(4*$C$7)*$C$8*RADIANS(J72) +$E$6*$C$5*$C$6*$E$5^2/(2*$C$7)*$C$9*$C$18)</f>
        <v>38.942982556611312</v>
      </c>
      <c r="K73">
        <f t="shared" si="18"/>
        <v>49.443624016268942</v>
      </c>
      <c r="M73" s="15">
        <f t="shared" si="27"/>
        <v>0.67000000000000037</v>
      </c>
      <c r="N73">
        <f t="shared" ref="N73:N136" si="34">N72+$E$8*R72</f>
        <v>0.22404920366480668</v>
      </c>
      <c r="O73">
        <f t="shared" si="20"/>
        <v>0.35191945636591454</v>
      </c>
      <c r="P73">
        <f t="shared" si="28"/>
        <v>-0.14823436823059183</v>
      </c>
      <c r="Q73">
        <f t="shared" si="29"/>
        <v>-0.66161420340297705</v>
      </c>
      <c r="R73">
        <f t="shared" si="21"/>
        <v>-1.3097298814583285</v>
      </c>
      <c r="S73">
        <f t="shared" si="22"/>
        <v>4.3949070455159778E-2</v>
      </c>
      <c r="U73" s="15">
        <f t="shared" si="30"/>
        <v>0.67000000000000037</v>
      </c>
      <c r="V73">
        <f t="shared" ref="V73:V136" si="35">V72+$E$8*Z72</f>
        <v>4.942074098452256</v>
      </c>
      <c r="W73">
        <f t="shared" si="23"/>
        <v>5.7925901547744019E-2</v>
      </c>
      <c r="X73">
        <f t="shared" si="31"/>
        <v>0.8313896822665785</v>
      </c>
      <c r="Y73">
        <f t="shared" si="32"/>
        <v>-0.238284317084414</v>
      </c>
      <c r="Z73">
        <f t="shared" si="24"/>
        <v>0.22404920366480668</v>
      </c>
      <c r="AA73">
        <f t="shared" si="25"/>
        <v>0.57596866003072122</v>
      </c>
    </row>
    <row r="74" spans="8:27" x14ac:dyDescent="0.25">
      <c r="H74" s="15">
        <f t="shared" si="26"/>
        <v>0.68000000000000038</v>
      </c>
      <c r="I74" s="9">
        <f t="shared" si="19"/>
        <v>39.002581169179635</v>
      </c>
      <c r="J74">
        <f t="shared" si="33"/>
        <v>39.189222727259597</v>
      </c>
      <c r="K74">
        <f t="shared" si="18"/>
        <v>49.456014529160868</v>
      </c>
      <c r="M74" s="15">
        <f t="shared" si="27"/>
        <v>0.68000000000000038</v>
      </c>
      <c r="N74">
        <f t="shared" si="34"/>
        <v>0.21095190485022339</v>
      </c>
      <c r="O74">
        <f t="shared" si="20"/>
        <v>0.34524840745050811</v>
      </c>
      <c r="P74">
        <f t="shared" si="28"/>
        <v>-0.14474852891150972</v>
      </c>
      <c r="Q74">
        <f t="shared" si="29"/>
        <v>-0.66710489154064301</v>
      </c>
      <c r="R74">
        <f t="shared" si="21"/>
        <v>-1.2061763610653662</v>
      </c>
      <c r="S74">
        <f t="shared" si="22"/>
        <v>3.9916878571938763E-2</v>
      </c>
      <c r="U74" s="15">
        <f t="shared" si="30"/>
        <v>0.68000000000000038</v>
      </c>
      <c r="V74">
        <f t="shared" si="35"/>
        <v>4.9443145904889043</v>
      </c>
      <c r="W74">
        <f t="shared" si="23"/>
        <v>5.5685409511095685E-2</v>
      </c>
      <c r="X74">
        <f t="shared" si="31"/>
        <v>0.83195773882187274</v>
      </c>
      <c r="Y74">
        <f t="shared" si="32"/>
        <v>-0.22404920366483339</v>
      </c>
      <c r="Z74">
        <f t="shared" si="24"/>
        <v>0.21095190485022339</v>
      </c>
      <c r="AA74">
        <f t="shared" si="25"/>
        <v>0.55620031230073153</v>
      </c>
    </row>
    <row r="75" spans="8:27" x14ac:dyDescent="0.25">
      <c r="H75" s="15">
        <f t="shared" si="26"/>
        <v>0.69000000000000039</v>
      </c>
      <c r="I75" s="9">
        <f t="shared" si="19"/>
        <v>39.244787099109978</v>
      </c>
      <c r="J75">
        <f t="shared" si="33"/>
        <v>39.429979120573591</v>
      </c>
      <c r="K75">
        <f t="shared" si="18"/>
        <v>49.468129104891204</v>
      </c>
      <c r="M75" s="15">
        <f t="shared" si="27"/>
        <v>0.69000000000000039</v>
      </c>
      <c r="N75">
        <f t="shared" si="34"/>
        <v>0.19889014123956972</v>
      </c>
      <c r="O75">
        <f t="shared" si="20"/>
        <v>0.33854459188646235</v>
      </c>
      <c r="P75">
        <f t="shared" si="28"/>
        <v>-0.14132956391482487</v>
      </c>
      <c r="Q75">
        <f t="shared" si="29"/>
        <v>-0.67038155640457564</v>
      </c>
      <c r="R75">
        <f t="shared" si="21"/>
        <v>-1.1118979759040388</v>
      </c>
      <c r="S75">
        <f t="shared" si="22"/>
        <v>3.6262451365245418E-2</v>
      </c>
      <c r="U75" s="15">
        <f t="shared" si="30"/>
        <v>0.69000000000000039</v>
      </c>
      <c r="V75">
        <f t="shared" si="35"/>
        <v>4.9464241095374062</v>
      </c>
      <c r="W75">
        <f t="shared" si="23"/>
        <v>5.3575890462593811E-2</v>
      </c>
      <c r="X75">
        <f t="shared" si="31"/>
        <v>0.83250404532174116</v>
      </c>
      <c r="Y75">
        <f t="shared" si="32"/>
        <v>-0.21095190485018733</v>
      </c>
      <c r="Z75">
        <f t="shared" si="24"/>
        <v>0.19889014123956972</v>
      </c>
      <c r="AA75">
        <f t="shared" si="25"/>
        <v>0.53743473312603207</v>
      </c>
    </row>
    <row r="76" spans="8:27" x14ac:dyDescent="0.25">
      <c r="H76" s="15">
        <f t="shared" si="26"/>
        <v>0.7000000000000004</v>
      </c>
      <c r="I76" s="9">
        <f t="shared" si="19"/>
        <v>39.481658712561526</v>
      </c>
      <c r="J76">
        <f t="shared" si="33"/>
        <v>39.665373860469039</v>
      </c>
      <c r="K76">
        <f t="shared" si="18"/>
        <v>49.479973888590337</v>
      </c>
      <c r="M76" s="15">
        <f t="shared" si="27"/>
        <v>0.7000000000000004</v>
      </c>
      <c r="N76">
        <f t="shared" si="34"/>
        <v>0.18777116148052933</v>
      </c>
      <c r="O76">
        <f t="shared" si="20"/>
        <v>0.33182763650208957</v>
      </c>
      <c r="P76">
        <f t="shared" si="28"/>
        <v>-0.13797770277288213</v>
      </c>
      <c r="Q76">
        <f t="shared" si="29"/>
        <v>-0.67169553843727803</v>
      </c>
      <c r="R76">
        <f t="shared" si="21"/>
        <v>-1.0260315570371836</v>
      </c>
      <c r="S76">
        <f t="shared" si="22"/>
        <v>3.2950196244604268E-2</v>
      </c>
      <c r="U76" s="15">
        <f t="shared" si="30"/>
        <v>0.7000000000000004</v>
      </c>
      <c r="V76">
        <f t="shared" si="35"/>
        <v>4.9484130109498015</v>
      </c>
      <c r="W76">
        <f t="shared" si="23"/>
        <v>5.158698905019854E-2</v>
      </c>
      <c r="X76">
        <f t="shared" si="31"/>
        <v>0.8330298597193051</v>
      </c>
      <c r="Y76">
        <f t="shared" si="32"/>
        <v>-0.1988901412395272</v>
      </c>
      <c r="Z76">
        <f t="shared" si="24"/>
        <v>0.18777116148052933</v>
      </c>
      <c r="AA76">
        <f t="shared" si="25"/>
        <v>0.51959879798261888</v>
      </c>
    </row>
    <row r="77" spans="8:27" x14ac:dyDescent="0.25">
      <c r="H77" s="15">
        <f t="shared" si="26"/>
        <v>0.71000000000000041</v>
      </c>
      <c r="I77" s="9">
        <f t="shared" si="19"/>
        <v>39.713313491927487</v>
      </c>
      <c r="J77">
        <f t="shared" si="33"/>
        <v>39.895526351157741</v>
      </c>
      <c r="K77">
        <f t="shared" si="18"/>
        <v>49.491554888536363</v>
      </c>
      <c r="M77" s="15">
        <f t="shared" si="27"/>
        <v>0.71000000000000041</v>
      </c>
      <c r="N77">
        <f t="shared" si="34"/>
        <v>0.17751084591015751</v>
      </c>
      <c r="O77">
        <f t="shared" si="20"/>
        <v>0.32511490257427433</v>
      </c>
      <c r="P77">
        <f t="shared" si="28"/>
        <v>-0.1346929900775003</v>
      </c>
      <c r="Q77">
        <f t="shared" si="29"/>
        <v>-0.67127339278152398</v>
      </c>
      <c r="R77">
        <f t="shared" si="21"/>
        <v>-0.9477951167377987</v>
      </c>
      <c r="S77">
        <f t="shared" si="22"/>
        <v>2.9947879166767999E-2</v>
      </c>
      <c r="U77" s="15">
        <f t="shared" si="30"/>
        <v>0.71000000000000041</v>
      </c>
      <c r="V77">
        <f t="shared" si="35"/>
        <v>4.9502907225646071</v>
      </c>
      <c r="W77">
        <f t="shared" si="23"/>
        <v>4.9709277435392885E-2</v>
      </c>
      <c r="X77">
        <f t="shared" si="31"/>
        <v>0.83353634105173302</v>
      </c>
      <c r="Y77">
        <f t="shared" si="32"/>
        <v>-0.1877711614805655</v>
      </c>
      <c r="Z77">
        <f t="shared" si="24"/>
        <v>0.17751084591015751</v>
      </c>
      <c r="AA77">
        <f t="shared" si="25"/>
        <v>0.50262574848443187</v>
      </c>
    </row>
    <row r="78" spans="8:27" x14ac:dyDescent="0.25">
      <c r="H78" s="15">
        <f t="shared" si="26"/>
        <v>0.72000000000000042</v>
      </c>
      <c r="I78" s="9">
        <f t="shared" si="19"/>
        <v>39.939866332181893</v>
      </c>
      <c r="J78">
        <f t="shared" si="33"/>
        <v>40.120553337715471</v>
      </c>
      <c r="K78">
        <f t="shared" si="18"/>
        <v>49.502877979202822</v>
      </c>
      <c r="M78" s="15">
        <f t="shared" si="27"/>
        <v>0.72000000000000042</v>
      </c>
      <c r="N78">
        <f t="shared" si="34"/>
        <v>0.16803289474277952</v>
      </c>
      <c r="O78">
        <f t="shared" si="20"/>
        <v>0.31842171001763842</v>
      </c>
      <c r="P78">
        <f t="shared" si="28"/>
        <v>-0.13147530701454074</v>
      </c>
      <c r="Q78">
        <f t="shared" si="29"/>
        <v>-0.66931925566359185</v>
      </c>
      <c r="R78">
        <f t="shared" si="21"/>
        <v>-0.87648019180295722</v>
      </c>
      <c r="S78">
        <f t="shared" si="22"/>
        <v>2.7226307594062749E-2</v>
      </c>
      <c r="U78" s="15">
        <f t="shared" si="30"/>
        <v>0.72000000000000042</v>
      </c>
      <c r="V78">
        <f t="shared" si="35"/>
        <v>4.9520658310237087</v>
      </c>
      <c r="W78">
        <f t="shared" si="23"/>
        <v>4.7934168976291325E-2</v>
      </c>
      <c r="X78">
        <f t="shared" si="31"/>
        <v>0.83402455828379141</v>
      </c>
      <c r="Y78">
        <f t="shared" si="32"/>
        <v>-0.17751084591015598</v>
      </c>
      <c r="Z78">
        <f t="shared" si="24"/>
        <v>0.16803289474277952</v>
      </c>
      <c r="AA78">
        <f t="shared" si="25"/>
        <v>0.48645460476041791</v>
      </c>
    </row>
    <row r="79" spans="8:27" x14ac:dyDescent="0.25">
      <c r="H79" s="15">
        <f t="shared" si="26"/>
        <v>0.73000000000000043</v>
      </c>
      <c r="I79" s="9">
        <f t="shared" si="19"/>
        <v>40.16142959786464</v>
      </c>
      <c r="J79">
        <f t="shared" si="33"/>
        <v>40.340568965301024</v>
      </c>
      <c r="K79">
        <f t="shared" si="18"/>
        <v>49.513948904238518</v>
      </c>
      <c r="M79" s="15">
        <f t="shared" si="27"/>
        <v>0.73000000000000043</v>
      </c>
      <c r="N79">
        <f t="shared" si="34"/>
        <v>0.15926809282474996</v>
      </c>
      <c r="O79">
        <f t="shared" si="20"/>
        <v>0.31176154015021817</v>
      </c>
      <c r="P79">
        <f t="shared" si="28"/>
        <v>-0.12832439076370147</v>
      </c>
      <c r="Q79">
        <f t="shared" si="29"/>
        <v>-0.66601698674202403</v>
      </c>
      <c r="R79">
        <f t="shared" si="21"/>
        <v>-0.81144490958127247</v>
      </c>
      <c r="S79">
        <f t="shared" si="22"/>
        <v>2.4759043385491286E-2</v>
      </c>
      <c r="U79" s="15">
        <f t="shared" si="30"/>
        <v>0.73000000000000043</v>
      </c>
      <c r="V79">
        <f t="shared" si="35"/>
        <v>4.9537461599711365</v>
      </c>
      <c r="W79">
        <f t="shared" si="23"/>
        <v>4.6253840028863458E-2</v>
      </c>
      <c r="X79">
        <f t="shared" si="31"/>
        <v>0.8344954983288172</v>
      </c>
      <c r="Y79">
        <f t="shared" si="32"/>
        <v>-0.16803289474278671</v>
      </c>
      <c r="Z79">
        <f t="shared" si="24"/>
        <v>0.15926809282474996</v>
      </c>
      <c r="AA79">
        <f t="shared" si="25"/>
        <v>0.47102963297496814</v>
      </c>
    </row>
    <row r="80" spans="8:27" x14ac:dyDescent="0.25">
      <c r="H80" s="15">
        <f t="shared" si="26"/>
        <v>0.74000000000000044</v>
      </c>
      <c r="I80" s="9">
        <f t="shared" si="19"/>
        <v>40.378113178811482</v>
      </c>
      <c r="J80">
        <f t="shared" si="33"/>
        <v>40.555684837056461</v>
      </c>
      <c r="K80">
        <f t="shared" si="18"/>
        <v>49.524773279380987</v>
      </c>
      <c r="M80" s="15">
        <f t="shared" si="27"/>
        <v>0.74000000000000044</v>
      </c>
      <c r="N80">
        <f t="shared" si="34"/>
        <v>0.15115364372893725</v>
      </c>
      <c r="O80">
        <f t="shared" si="20"/>
        <v>0.30514621906607287</v>
      </c>
      <c r="P80">
        <f t="shared" si="28"/>
        <v>-0.12523985196762003</v>
      </c>
      <c r="Q80">
        <f t="shared" si="29"/>
        <v>-0.66153210841453092</v>
      </c>
      <c r="R80">
        <f t="shared" si="21"/>
        <v>-0.75210770840215002</v>
      </c>
      <c r="S80">
        <f t="shared" si="22"/>
        <v>2.2522142790099675E-2</v>
      </c>
      <c r="U80" s="15">
        <f t="shared" si="30"/>
        <v>0.74000000000000044</v>
      </c>
      <c r="V80">
        <f t="shared" si="35"/>
        <v>4.9553388408993841</v>
      </c>
      <c r="W80">
        <f t="shared" si="23"/>
        <v>4.4661159100615855E-2</v>
      </c>
      <c r="X80">
        <f t="shared" si="31"/>
        <v>0.83495007332446458</v>
      </c>
      <c r="Y80">
        <f t="shared" si="32"/>
        <v>-0.15926809282476029</v>
      </c>
      <c r="Z80">
        <f t="shared" si="24"/>
        <v>0.15115364372893725</v>
      </c>
      <c r="AA80">
        <f t="shared" si="25"/>
        <v>0.45629986279501011</v>
      </c>
    </row>
    <row r="81" spans="8:27" x14ac:dyDescent="0.25">
      <c r="H81" s="15">
        <f t="shared" si="26"/>
        <v>0.75000000000000044</v>
      </c>
      <c r="I81" s="9">
        <f t="shared" si="19"/>
        <v>40.590024544656636</v>
      </c>
      <c r="J81">
        <f t="shared" si="33"/>
        <v>40.766010070717904</v>
      </c>
      <c r="K81">
        <f t="shared" si="18"/>
        <v>49.535356595305103</v>
      </c>
      <c r="M81" s="15">
        <f t="shared" si="27"/>
        <v>0.75000000000000044</v>
      </c>
      <c r="N81">
        <f t="shared" si="34"/>
        <v>0.14363256664491575</v>
      </c>
      <c r="O81">
        <f t="shared" si="20"/>
        <v>0.29858608345055193</v>
      </c>
      <c r="P81">
        <f t="shared" si="28"/>
        <v>-0.1222211904550369</v>
      </c>
      <c r="Q81">
        <f t="shared" si="29"/>
        <v>-0.65601356155209345</v>
      </c>
      <c r="R81">
        <f t="shared" si="21"/>
        <v>-0.69794165073548486</v>
      </c>
      <c r="S81">
        <f t="shared" si="22"/>
        <v>2.0493920989601566E-2</v>
      </c>
      <c r="U81" s="15">
        <f t="shared" si="30"/>
        <v>0.75000000000000044</v>
      </c>
      <c r="V81">
        <f t="shared" si="35"/>
        <v>4.9568503773366732</v>
      </c>
      <c r="W81">
        <f t="shared" si="23"/>
        <v>4.3149622663326781E-2</v>
      </c>
      <c r="X81">
        <f t="shared" si="31"/>
        <v>0.83538912723328429</v>
      </c>
      <c r="Y81">
        <f t="shared" si="32"/>
        <v>-0.15115364372890738</v>
      </c>
      <c r="Z81">
        <f t="shared" si="24"/>
        <v>0.14363256664491575</v>
      </c>
      <c r="AA81">
        <f t="shared" si="25"/>
        <v>0.44221865009546768</v>
      </c>
    </row>
    <row r="82" spans="8:27" x14ac:dyDescent="0.25">
      <c r="H82" s="15">
        <f t="shared" si="26"/>
        <v>0.76000000000000045</v>
      </c>
      <c r="I82" s="9">
        <f t="shared" si="19"/>
        <v>40.797268798135086</v>
      </c>
      <c r="J82">
        <f t="shared" si="33"/>
        <v>40.971651353965633</v>
      </c>
      <c r="K82">
        <f t="shared" si="18"/>
        <v>49.545704220408204</v>
      </c>
      <c r="M82" s="15">
        <f t="shared" si="27"/>
        <v>0.76000000000000045</v>
      </c>
      <c r="N82">
        <f t="shared" si="34"/>
        <v>0.13665315013756091</v>
      </c>
      <c r="O82">
        <f t="shared" si="20"/>
        <v>0.29209013050250038</v>
      </c>
      <c r="P82">
        <f t="shared" si="28"/>
        <v>-0.11926780938527164</v>
      </c>
      <c r="Q82">
        <f t="shared" si="29"/>
        <v>-0.64959529480515532</v>
      </c>
      <c r="R82">
        <f t="shared" si="21"/>
        <v>-0.64846927306665914</v>
      </c>
      <c r="S82">
        <f t="shared" si="22"/>
        <v>1.8654738869408993E-2</v>
      </c>
      <c r="U82" s="15">
        <f t="shared" si="30"/>
        <v>0.76000000000000045</v>
      </c>
      <c r="V82">
        <f t="shared" si="35"/>
        <v>4.9582867030031226</v>
      </c>
      <c r="W82">
        <f t="shared" si="23"/>
        <v>4.1713296996877425E-2</v>
      </c>
      <c r="X82">
        <f t="shared" si="31"/>
        <v>0.83581344183158535</v>
      </c>
      <c r="Y82">
        <f t="shared" si="32"/>
        <v>-0.14363256664493562</v>
      </c>
      <c r="Z82">
        <f t="shared" si="24"/>
        <v>0.13665315013756091</v>
      </c>
      <c r="AA82">
        <f t="shared" si="25"/>
        <v>0.42874328064006129</v>
      </c>
    </row>
    <row r="83" spans="8:27" x14ac:dyDescent="0.25">
      <c r="H83" s="15">
        <f t="shared" si="26"/>
        <v>0.77000000000000046</v>
      </c>
      <c r="I83" s="9">
        <f t="shared" si="19"/>
        <v>40.999948727210807</v>
      </c>
      <c r="J83">
        <f t="shared" si="33"/>
        <v>41.172712998541492</v>
      </c>
      <c r="K83">
        <f t="shared" si="18"/>
        <v>49.555821403533237</v>
      </c>
      <c r="M83" s="15">
        <f t="shared" si="27"/>
        <v>0.77000000000000046</v>
      </c>
      <c r="N83">
        <f t="shared" si="34"/>
        <v>0.13016845740689431</v>
      </c>
      <c r="O83">
        <f t="shared" si="20"/>
        <v>0.28566615347036406</v>
      </c>
      <c r="P83">
        <f t="shared" si="28"/>
        <v>-0.11637902796540732</v>
      </c>
      <c r="Q83">
        <f t="shared" si="29"/>
        <v>-0.64239770321363188</v>
      </c>
      <c r="R83">
        <f t="shared" si="21"/>
        <v>-0.60325792180033777</v>
      </c>
      <c r="S83">
        <f t="shared" si="22"/>
        <v>1.6986809918444756E-2</v>
      </c>
      <c r="U83" s="15">
        <f t="shared" si="30"/>
        <v>0.77000000000000046</v>
      </c>
      <c r="V83">
        <f t="shared" si="35"/>
        <v>4.9596532345044979</v>
      </c>
      <c r="W83">
        <f t="shared" si="23"/>
        <v>4.034676549550209E-2</v>
      </c>
      <c r="X83">
        <f t="shared" si="31"/>
        <v>0.83622374214404727</v>
      </c>
      <c r="Y83">
        <f t="shared" si="32"/>
        <v>-0.13665315013753343</v>
      </c>
      <c r="Z83">
        <f t="shared" si="24"/>
        <v>0.13016845740689431</v>
      </c>
      <c r="AA83">
        <f t="shared" si="25"/>
        <v>0.41583461087725837</v>
      </c>
    </row>
    <row r="84" spans="8:27" x14ac:dyDescent="0.25">
      <c r="H84" s="15">
        <f t="shared" si="26"/>
        <v>0.78000000000000047</v>
      </c>
      <c r="I84" s="9">
        <f t="shared" si="19"/>
        <v>41.198164856057112</v>
      </c>
      <c r="J84">
        <f t="shared" si="33"/>
        <v>41.369296993161143</v>
      </c>
      <c r="K84">
        <f t="shared" si="18"/>
        <v>49.565713276631229</v>
      </c>
      <c r="M84" s="15">
        <f t="shared" si="27"/>
        <v>0.78000000000000047</v>
      </c>
      <c r="N84">
        <f t="shared" si="34"/>
        <v>0.12413587818889094</v>
      </c>
      <c r="O84">
        <f t="shared" si="20"/>
        <v>0.27932086416484336</v>
      </c>
      <c r="P84">
        <f t="shared" si="28"/>
        <v>-0.11355409287723128</v>
      </c>
      <c r="Q84">
        <f t="shared" si="29"/>
        <v>-0.6345289305520696</v>
      </c>
      <c r="R84">
        <f t="shared" si="21"/>
        <v>-0.56191552939650258</v>
      </c>
      <c r="S84">
        <f t="shared" si="22"/>
        <v>1.5474025361990384E-2</v>
      </c>
      <c r="U84" s="15">
        <f t="shared" si="30"/>
        <v>0.78000000000000047</v>
      </c>
      <c r="V84">
        <f t="shared" si="35"/>
        <v>4.9609549190785671</v>
      </c>
      <c r="W84">
        <f t="shared" si="23"/>
        <v>3.9045080921432884E-2</v>
      </c>
      <c r="X84">
        <f t="shared" si="31"/>
        <v>0.83662070137613198</v>
      </c>
      <c r="Y84">
        <f t="shared" si="32"/>
        <v>-0.13016845740692062</v>
      </c>
      <c r="Z84">
        <f t="shared" si="24"/>
        <v>0.12413587818889094</v>
      </c>
      <c r="AA84">
        <f t="shared" si="25"/>
        <v>0.4034567423537343</v>
      </c>
    </row>
    <row r="85" spans="8:27" x14ac:dyDescent="0.25">
      <c r="H85" s="15">
        <f t="shared" si="26"/>
        <v>0.79000000000000048</v>
      </c>
      <c r="I85" s="9">
        <f t="shared" si="19"/>
        <v>41.392015494914084</v>
      </c>
      <c r="J85">
        <f t="shared" si="33"/>
        <v>41.561503055247933</v>
      </c>
      <c r="K85">
        <f t="shared" ref="K85:K148" si="36">K84+$E$8*DEGREES($E$6*$C$5*$C$6^2*$E$5/(4*$C$7)*$C$8*RADIANS(K84) +$E$6*$C$5*$C$6*$E$5^2/(2*$C$7)*$C$9*$C$18)</f>
        <v>49.575384857364469</v>
      </c>
      <c r="M85" s="15">
        <f t="shared" si="27"/>
        <v>0.79000000000000048</v>
      </c>
      <c r="N85">
        <f t="shared" si="34"/>
        <v>0.11851672289492592</v>
      </c>
      <c r="O85">
        <f t="shared" si="20"/>
        <v>0.27306000368515609</v>
      </c>
      <c r="P85">
        <f t="shared" si="28"/>
        <v>-0.11079218853798128</v>
      </c>
      <c r="Q85">
        <f t="shared" si="29"/>
        <v>-0.62608604796872691</v>
      </c>
      <c r="R85">
        <f t="shared" si="21"/>
        <v>-0.52408678905131179</v>
      </c>
      <c r="S85">
        <f t="shared" si="22"/>
        <v>1.4101795799281447E-2</v>
      </c>
      <c r="U85" s="15">
        <f t="shared" si="30"/>
        <v>0.79000000000000048</v>
      </c>
      <c r="V85">
        <f t="shared" si="35"/>
        <v>4.962196277860456</v>
      </c>
      <c r="W85">
        <f t="shared" si="23"/>
        <v>3.7803722139543972E-2</v>
      </c>
      <c r="X85">
        <f t="shared" si="31"/>
        <v>0.83700494539143688</v>
      </c>
      <c r="Y85">
        <f t="shared" si="32"/>
        <v>-0.12413587818889127</v>
      </c>
      <c r="Z85">
        <f t="shared" si="24"/>
        <v>0.11851672289492592</v>
      </c>
      <c r="AA85">
        <f t="shared" si="25"/>
        <v>0.39157672658008202</v>
      </c>
    </row>
    <row r="86" spans="8:27" x14ac:dyDescent="0.25">
      <c r="H86" s="15">
        <f t="shared" si="26"/>
        <v>0.80000000000000049</v>
      </c>
      <c r="I86" s="9">
        <f t="shared" si="19"/>
        <v>41.581596788848024</v>
      </c>
      <c r="J86">
        <f t="shared" si="33"/>
        <v>41.749428681514644</v>
      </c>
      <c r="K86">
        <f t="shared" si="36"/>
        <v>49.584841051651736</v>
      </c>
      <c r="M86" s="15">
        <f t="shared" si="27"/>
        <v>0.80000000000000049</v>
      </c>
      <c r="N86">
        <f t="shared" si="34"/>
        <v>0.1132758550044128</v>
      </c>
      <c r="O86">
        <f t="shared" si="20"/>
        <v>0.26688844247525539</v>
      </c>
      <c r="P86">
        <f t="shared" si="28"/>
        <v>-0.10809244630717922</v>
      </c>
      <c r="Q86">
        <f t="shared" si="29"/>
        <v>-0.61715612099007</v>
      </c>
      <c r="R86">
        <f t="shared" si="21"/>
        <v>-0.48944969044240261</v>
      </c>
      <c r="S86">
        <f t="shared" si="22"/>
        <v>1.2856907795286032E-2</v>
      </c>
      <c r="U86" s="15">
        <f t="shared" si="30"/>
        <v>0.80000000000000049</v>
      </c>
      <c r="V86">
        <f t="shared" si="35"/>
        <v>4.9633814450894054</v>
      </c>
      <c r="W86">
        <f t="shared" si="23"/>
        <v>3.6618554910594625E-2</v>
      </c>
      <c r="X86">
        <f t="shared" si="31"/>
        <v>0.83737705677668761</v>
      </c>
      <c r="Y86">
        <f t="shared" si="32"/>
        <v>-0.11851672289493465</v>
      </c>
      <c r="Z86">
        <f t="shared" si="24"/>
        <v>0.1132758550044128</v>
      </c>
      <c r="AA86">
        <f t="shared" si="25"/>
        <v>0.38016429747966818</v>
      </c>
    </row>
    <row r="87" spans="8:27" x14ac:dyDescent="0.25">
      <c r="H87" s="15">
        <f t="shared" si="26"/>
        <v>0.8100000000000005</v>
      </c>
      <c r="I87" s="9">
        <f t="shared" si="19"/>
        <v>41.767002765436949</v>
      </c>
      <c r="J87">
        <f t="shared" si="33"/>
        <v>41.93316919741882</v>
      </c>
      <c r="K87">
        <f t="shared" si="36"/>
        <v>49.594086656156826</v>
      </c>
      <c r="M87" s="15">
        <f t="shared" si="27"/>
        <v>0.8100000000000005</v>
      </c>
      <c r="N87">
        <f t="shared" si="34"/>
        <v>0.10838135809998878</v>
      </c>
      <c r="O87">
        <f t="shared" si="20"/>
        <v>0.2608102707244036</v>
      </c>
      <c r="P87">
        <f t="shared" si="28"/>
        <v>-0.10545395274118093</v>
      </c>
      <c r="Q87">
        <f t="shared" si="29"/>
        <v>-0.60781717508517907</v>
      </c>
      <c r="R87">
        <f t="shared" si="21"/>
        <v>-0.45771238232525679</v>
      </c>
      <c r="S87">
        <f t="shared" si="22"/>
        <v>1.1727394007949199E-2</v>
      </c>
      <c r="U87" s="15">
        <f t="shared" si="30"/>
        <v>0.8100000000000005</v>
      </c>
      <c r="V87">
        <f t="shared" si="35"/>
        <v>4.9645142036394496</v>
      </c>
      <c r="W87">
        <f t="shared" si="23"/>
        <v>3.5485796360550381E-2</v>
      </c>
      <c r="X87">
        <f t="shared" si="31"/>
        <v>0.83773757853304331</v>
      </c>
      <c r="Y87">
        <f t="shared" si="32"/>
        <v>-0.11327585500442439</v>
      </c>
      <c r="Z87">
        <f t="shared" si="24"/>
        <v>0.10838135809998878</v>
      </c>
      <c r="AA87">
        <f t="shared" si="25"/>
        <v>0.36919162882439238</v>
      </c>
    </row>
    <row r="88" spans="8:27" x14ac:dyDescent="0.25">
      <c r="H88" s="15">
        <f t="shared" si="26"/>
        <v>0.82000000000000051</v>
      </c>
      <c r="I88" s="9">
        <f t="shared" si="19"/>
        <v>41.948325381405965</v>
      </c>
      <c r="J88">
        <f t="shared" si="33"/>
        <v>42.11281780551667</v>
      </c>
      <c r="K88">
        <f t="shared" si="36"/>
        <v>49.603126360721653</v>
      </c>
      <c r="M88" s="15">
        <f t="shared" si="27"/>
        <v>0.82000000000000051</v>
      </c>
      <c r="N88">
        <f t="shared" si="34"/>
        <v>0.10380423427673621</v>
      </c>
      <c r="O88">
        <f t="shared" si="20"/>
        <v>0.2548288800278502</v>
      </c>
      <c r="P88">
        <f t="shared" si="28"/>
        <v>-0.10287575698741966</v>
      </c>
      <c r="Q88">
        <f t="shared" si="29"/>
        <v>-0.59813906965534014</v>
      </c>
      <c r="R88">
        <f t="shared" si="21"/>
        <v>-0.42861033121824738</v>
      </c>
      <c r="S88">
        <f t="shared" si="22"/>
        <v>1.0702415577951319E-2</v>
      </c>
      <c r="U88" s="15">
        <f t="shared" si="30"/>
        <v>0.82000000000000051</v>
      </c>
      <c r="V88">
        <f t="shared" si="35"/>
        <v>4.9655980172204499</v>
      </c>
      <c r="W88">
        <f t="shared" si="23"/>
        <v>3.4401982779550089E-2</v>
      </c>
      <c r="X88">
        <f t="shared" si="31"/>
        <v>0.83808701742874381</v>
      </c>
      <c r="Y88">
        <f t="shared" si="32"/>
        <v>-0.10838135810002925</v>
      </c>
      <c r="Z88">
        <f t="shared" si="24"/>
        <v>0.10380423427673621</v>
      </c>
      <c r="AA88">
        <f t="shared" si="25"/>
        <v>0.35863311430458644</v>
      </c>
    </row>
    <row r="89" spans="8:27" x14ac:dyDescent="0.25">
      <c r="H89" s="15">
        <f t="shared" si="26"/>
        <v>0.83000000000000052</v>
      </c>
      <c r="I89" s="9">
        <f t="shared" si="19"/>
        <v>42.12565456823549</v>
      </c>
      <c r="J89">
        <f t="shared" si="33"/>
        <v>42.288465632740184</v>
      </c>
      <c r="K89">
        <f t="shared" si="36"/>
        <v>49.611964750745187</v>
      </c>
      <c r="M89" s="15">
        <f t="shared" si="27"/>
        <v>0.83000000000000052</v>
      </c>
      <c r="N89">
        <f t="shared" si="34"/>
        <v>9.9518130964553739E-2</v>
      </c>
      <c r="O89">
        <f t="shared" si="20"/>
        <v>0.24894703713849686</v>
      </c>
      <c r="P89">
        <f t="shared" si="28"/>
        <v>-0.10035687740158793</v>
      </c>
      <c r="Q89">
        <f t="shared" si="29"/>
        <v>-0.58818428893533392</v>
      </c>
      <c r="R89">
        <f t="shared" si="21"/>
        <v>-0.40190374817024682</v>
      </c>
      <c r="S89">
        <f t="shared" si="22"/>
        <v>9.7721556202992055E-3</v>
      </c>
      <c r="U89" s="15">
        <f t="shared" si="30"/>
        <v>0.83000000000000052</v>
      </c>
      <c r="V89">
        <f t="shared" si="35"/>
        <v>4.9666360595632169</v>
      </c>
      <c r="W89">
        <f t="shared" si="23"/>
        <v>3.3363940436783146E-2</v>
      </c>
      <c r="X89">
        <f t="shared" si="31"/>
        <v>0.83842584704482548</v>
      </c>
      <c r="Y89">
        <f t="shared" si="32"/>
        <v>-0.10380423427669427</v>
      </c>
      <c r="Z89">
        <f t="shared" si="24"/>
        <v>9.9518130964553739E-2</v>
      </c>
      <c r="AA89">
        <f t="shared" si="25"/>
        <v>0.34846516810305062</v>
      </c>
    </row>
    <row r="90" spans="8:27" x14ac:dyDescent="0.25">
      <c r="H90" s="15">
        <f t="shared" si="26"/>
        <v>0.84000000000000052</v>
      </c>
      <c r="I90" s="9">
        <f t="shared" si="19"/>
        <v>42.299078276765016</v>
      </c>
      <c r="J90">
        <f t="shared" si="33"/>
        <v>42.460201776621332</v>
      </c>
      <c r="K90">
        <f t="shared" si="36"/>
        <v>49.620606309509405</v>
      </c>
      <c r="M90" s="15">
        <f t="shared" si="27"/>
        <v>0.84000000000000052</v>
      </c>
      <c r="N90">
        <f t="shared" si="34"/>
        <v>9.5499093482851266E-2</v>
      </c>
      <c r="O90">
        <f t="shared" si="20"/>
        <v>0.24316695056054691</v>
      </c>
      <c r="P90">
        <f t="shared" si="28"/>
        <v>-9.7896307463092705E-2</v>
      </c>
      <c r="Q90">
        <f t="shared" si="29"/>
        <v>-0.57800865779499555</v>
      </c>
      <c r="R90">
        <f t="shared" si="21"/>
        <v>-0.37737525835450469</v>
      </c>
      <c r="S90">
        <f t="shared" si="22"/>
        <v>8.9277227723196517E-3</v>
      </c>
      <c r="U90" s="15">
        <f t="shared" si="30"/>
        <v>0.84000000000000052</v>
      </c>
      <c r="V90">
        <f t="shared" si="35"/>
        <v>4.967631240872862</v>
      </c>
      <c r="W90">
        <f t="shared" si="23"/>
        <v>3.2368759127137992E-2</v>
      </c>
      <c r="X90">
        <f t="shared" si="31"/>
        <v>0.83875451054264505</v>
      </c>
      <c r="Y90">
        <f t="shared" si="32"/>
        <v>-9.951813096451545E-2</v>
      </c>
      <c r="Z90">
        <f t="shared" si="24"/>
        <v>9.5499093482851266E-2</v>
      </c>
      <c r="AA90">
        <f t="shared" si="25"/>
        <v>0.33866604404339817</v>
      </c>
    </row>
    <row r="91" spans="8:27" x14ac:dyDescent="0.25">
      <c r="H91" s="15">
        <f t="shared" si="26"/>
        <v>0.85000000000000053</v>
      </c>
      <c r="I91" s="9">
        <f t="shared" si="19"/>
        <v>42.468682520814504</v>
      </c>
      <c r="J91">
        <f t="shared" si="33"/>
        <v>42.628113350486899</v>
      </c>
      <c r="K91">
        <f t="shared" si="36"/>
        <v>49.62905542045344</v>
      </c>
      <c r="M91" s="15">
        <f t="shared" si="27"/>
        <v>0.85000000000000053</v>
      </c>
      <c r="N91">
        <f t="shared" si="34"/>
        <v>9.1725340899306215E-2</v>
      </c>
      <c r="O91">
        <f t="shared" si="20"/>
        <v>0.23749033066698039</v>
      </c>
      <c r="P91">
        <f t="shared" si="28"/>
        <v>-9.5493021056955063E-2</v>
      </c>
      <c r="Q91">
        <f t="shared" si="29"/>
        <v>-0.56766198935665202</v>
      </c>
      <c r="R91">
        <f t="shared" si="21"/>
        <v>-0.35482779048768753</v>
      </c>
      <c r="S91">
        <f t="shared" si="22"/>
        <v>8.1610638443810612E-3</v>
      </c>
      <c r="U91" s="15">
        <f t="shared" si="30"/>
        <v>0.85000000000000053</v>
      </c>
      <c r="V91">
        <f t="shared" si="35"/>
        <v>4.9685862318076905</v>
      </c>
      <c r="W91">
        <f t="shared" si="23"/>
        <v>3.1413768192309455E-2</v>
      </c>
      <c r="X91">
        <f t="shared" si="31"/>
        <v>0.83907342317924227</v>
      </c>
      <c r="Y91">
        <f t="shared" si="32"/>
        <v>-9.5499093482853681E-2</v>
      </c>
      <c r="Z91">
        <f t="shared" si="24"/>
        <v>9.1725340899306215E-2</v>
      </c>
      <c r="AA91">
        <f t="shared" si="25"/>
        <v>0.32921567156628662</v>
      </c>
    </row>
    <row r="92" spans="8:27" x14ac:dyDescent="0.25">
      <c r="H92" s="15">
        <f t="shared" si="26"/>
        <v>0.86000000000000054</v>
      </c>
      <c r="I92" s="9">
        <f t="shared" si="19"/>
        <v>42.634551419845124</v>
      </c>
      <c r="J92">
        <f t="shared" si="33"/>
        <v>42.792285527646783</v>
      </c>
      <c r="K92">
        <f t="shared" si="36"/>
        <v>49.637316369397062</v>
      </c>
      <c r="M92" s="15">
        <f t="shared" si="27"/>
        <v>0.86000000000000054</v>
      </c>
      <c r="N92">
        <f t="shared" si="34"/>
        <v>8.8177062994429345E-2</v>
      </c>
      <c r="O92">
        <f t="shared" si="20"/>
        <v>0.23191844395573452</v>
      </c>
      <c r="P92">
        <f t="shared" si="28"/>
        <v>-9.3145977183841489E-2</v>
      </c>
      <c r="Q92">
        <f t="shared" si="29"/>
        <v>-0.55718867112458659</v>
      </c>
      <c r="R92">
        <f t="shared" si="21"/>
        <v>-0.33408266541736881</v>
      </c>
      <c r="S92">
        <f t="shared" si="22"/>
        <v>7.464884718984266E-3</v>
      </c>
      <c r="U92" s="15">
        <f t="shared" si="30"/>
        <v>0.86000000000000054</v>
      </c>
      <c r="V92">
        <f t="shared" si="35"/>
        <v>4.9695034852166833</v>
      </c>
      <c r="W92">
        <f t="shared" si="23"/>
        <v>3.0496514783316719E-2</v>
      </c>
      <c r="X92">
        <f t="shared" si="31"/>
        <v>0.83938297459412037</v>
      </c>
      <c r="Y92">
        <f t="shared" si="32"/>
        <v>-9.1725340899273533E-2</v>
      </c>
      <c r="Z92">
        <f t="shared" si="24"/>
        <v>8.8177062994429345E-2</v>
      </c>
      <c r="AA92">
        <f t="shared" si="25"/>
        <v>0.32009550695016387</v>
      </c>
    </row>
    <row r="93" spans="8:27" x14ac:dyDescent="0.25">
      <c r="H93" s="15">
        <f t="shared" si="26"/>
        <v>0.87000000000000055</v>
      </c>
      <c r="I93" s="9">
        <f t="shared" si="19"/>
        <v>42.796767240680367</v>
      </c>
      <c r="J93">
        <f t="shared" si="33"/>
        <v>42.952801584598255</v>
      </c>
      <c r="K93">
        <f t="shared" si="36"/>
        <v>49.645393346714705</v>
      </c>
      <c r="M93" s="15">
        <f t="shared" si="27"/>
        <v>0.87000000000000055</v>
      </c>
      <c r="N93">
        <f t="shared" si="34"/>
        <v>8.4836236340255652E-2</v>
      </c>
      <c r="O93">
        <f t="shared" si="20"/>
        <v>0.22645216200299007</v>
      </c>
      <c r="P93">
        <f t="shared" si="28"/>
        <v>-9.0854124154047866E-2</v>
      </c>
      <c r="Q93">
        <f t="shared" si="29"/>
        <v>-0.54662819527444562</v>
      </c>
      <c r="R93">
        <f t="shared" si="21"/>
        <v>-0.31497786503057207</v>
      </c>
      <c r="S93">
        <f t="shared" si="22"/>
        <v>6.8325787170036567E-3</v>
      </c>
      <c r="U93" s="15">
        <f t="shared" si="30"/>
        <v>0.87000000000000055</v>
      </c>
      <c r="V93">
        <f t="shared" si="35"/>
        <v>4.9703852558466277</v>
      </c>
      <c r="W93">
        <f t="shared" si="23"/>
        <v>2.9614744153372285E-2</v>
      </c>
      <c r="X93">
        <f t="shared" si="31"/>
        <v>0.83968353088880376</v>
      </c>
      <c r="Y93">
        <f t="shared" si="32"/>
        <v>-8.8177062994443389E-2</v>
      </c>
      <c r="Z93">
        <f t="shared" si="24"/>
        <v>8.4836236340255652E-2</v>
      </c>
      <c r="AA93">
        <f t="shared" si="25"/>
        <v>0.31128839834324573</v>
      </c>
    </row>
    <row r="94" spans="8:27" x14ac:dyDescent="0.25">
      <c r="H94" s="15">
        <f t="shared" si="26"/>
        <v>0.88000000000000056</v>
      </c>
      <c r="I94" s="9">
        <f t="shared" si="19"/>
        <v>42.955410438308377</v>
      </c>
      <c r="J94">
        <f t="shared" si="33"/>
        <v>43.109742943268031</v>
      </c>
      <c r="K94">
        <f t="shared" si="36"/>
        <v>49.653290449460997</v>
      </c>
      <c r="M94" s="15">
        <f t="shared" si="27"/>
        <v>0.88000000000000056</v>
      </c>
      <c r="N94">
        <f t="shared" si="34"/>
        <v>8.1686457689949935E-2</v>
      </c>
      <c r="O94">
        <f t="shared" si="20"/>
        <v>0.22109200561954395</v>
      </c>
      <c r="P94">
        <f t="shared" si="28"/>
        <v>-8.8616403315935191E-2</v>
      </c>
      <c r="Q94">
        <f t="shared" si="29"/>
        <v>-0.5360156383446113</v>
      </c>
      <c r="R94">
        <f t="shared" si="21"/>
        <v>-0.29736646442407028</v>
      </c>
      <c r="S94">
        <f t="shared" si="22"/>
        <v>6.2581617240341503E-3</v>
      </c>
      <c r="U94" s="15">
        <f t="shared" si="30"/>
        <v>0.88000000000000056</v>
      </c>
      <c r="V94">
        <f t="shared" si="35"/>
        <v>4.9712336182100305</v>
      </c>
      <c r="W94">
        <f t="shared" si="23"/>
        <v>2.8766381789969486E-2</v>
      </c>
      <c r="X94">
        <f t="shared" si="31"/>
        <v>0.83997543651852047</v>
      </c>
      <c r="Y94">
        <f t="shared" si="32"/>
        <v>-8.4836236340279925E-2</v>
      </c>
      <c r="Z94">
        <f t="shared" si="24"/>
        <v>8.1686457689949935E-2</v>
      </c>
      <c r="AA94">
        <f t="shared" si="25"/>
        <v>0.30277846330949387</v>
      </c>
    </row>
    <row r="95" spans="8:27" x14ac:dyDescent="0.25">
      <c r="H95" s="15">
        <f t="shared" si="26"/>
        <v>0.89000000000000057</v>
      </c>
      <c r="I95" s="9">
        <f t="shared" si="19"/>
        <v>43.110559695785533</v>
      </c>
      <c r="J95">
        <f t="shared" si="33"/>
        <v>43.263189212313641</v>
      </c>
      <c r="K95">
        <f t="shared" si="36"/>
        <v>49.661011683449026</v>
      </c>
      <c r="M95" s="15">
        <f t="shared" si="27"/>
        <v>0.89000000000000057</v>
      </c>
      <c r="N95">
        <f t="shared" si="34"/>
        <v>7.8712793045709231E-2</v>
      </c>
      <c r="O95">
        <f t="shared" si="20"/>
        <v>0.21583818466616589</v>
      </c>
      <c r="P95">
        <f t="shared" si="28"/>
        <v>-8.6431752364506648E-2</v>
      </c>
      <c r="Q95">
        <f t="shared" si="29"/>
        <v>-0.52538209533780633</v>
      </c>
      <c r="R95">
        <f t="shared" si="21"/>
        <v>-0.28111521201814582</v>
      </c>
      <c r="S95">
        <f t="shared" si="22"/>
        <v>5.7362134435794965E-3</v>
      </c>
      <c r="U95" s="15">
        <f t="shared" si="30"/>
        <v>0.89000000000000057</v>
      </c>
      <c r="V95">
        <f t="shared" si="35"/>
        <v>4.9720504827869298</v>
      </c>
      <c r="W95">
        <f t="shared" si="23"/>
        <v>2.7949517213070152E-2</v>
      </c>
      <c r="X95">
        <f t="shared" si="31"/>
        <v>0.8402590160135357</v>
      </c>
      <c r="Y95">
        <f t="shared" si="32"/>
        <v>-8.1686457689933434E-2</v>
      </c>
      <c r="Z95">
        <f t="shared" si="24"/>
        <v>7.8712793045709231E-2</v>
      </c>
      <c r="AA95">
        <f t="shared" si="25"/>
        <v>0.29455097771187511</v>
      </c>
    </row>
    <row r="96" spans="8:27" x14ac:dyDescent="0.25">
      <c r="H96" s="15">
        <f t="shared" si="26"/>
        <v>0.90000000000000058</v>
      </c>
      <c r="I96" s="9">
        <f t="shared" si="19"/>
        <v>43.262291963261376</v>
      </c>
      <c r="J96">
        <f t="shared" si="33"/>
        <v>43.413218227504984</v>
      </c>
      <c r="K96">
        <f t="shared" si="36"/>
        <v>49.668560965282275</v>
      </c>
      <c r="M96" s="15">
        <f t="shared" si="27"/>
        <v>0.90000000000000058</v>
      </c>
      <c r="N96">
        <f t="shared" si="34"/>
        <v>7.5901640925527772E-2</v>
      </c>
      <c r="O96">
        <f t="shared" si="20"/>
        <v>0.21069063394296705</v>
      </c>
      <c r="P96">
        <f t="shared" si="28"/>
        <v>-8.4299108271460976E-2</v>
      </c>
      <c r="Q96">
        <f t="shared" si="29"/>
        <v>-0.51475507231988349</v>
      </c>
      <c r="R96">
        <f t="shared" si="21"/>
        <v>-0.26610324357293014</v>
      </c>
      <c r="S96">
        <f t="shared" si="22"/>
        <v>5.2618241945696087E-3</v>
      </c>
      <c r="U96" s="15">
        <f t="shared" si="30"/>
        <v>0.90000000000000058</v>
      </c>
      <c r="V96">
        <f t="shared" si="35"/>
        <v>4.9728376107173871</v>
      </c>
      <c r="W96">
        <f t="shared" si="23"/>
        <v>2.7162389282612942E-2</v>
      </c>
      <c r="X96">
        <f t="shared" si="31"/>
        <v>0.84053457554601407</v>
      </c>
      <c r="Y96">
        <f t="shared" si="32"/>
        <v>-7.8712793045720986E-2</v>
      </c>
      <c r="Z96">
        <f t="shared" si="24"/>
        <v>7.5901640925527772E-2</v>
      </c>
      <c r="AA96">
        <f t="shared" si="25"/>
        <v>0.28659227486849481</v>
      </c>
    </row>
    <row r="97" spans="8:27" x14ac:dyDescent="0.25">
      <c r="H97" s="15">
        <f t="shared" si="26"/>
        <v>0.91000000000000059</v>
      </c>
      <c r="I97" s="9">
        <f t="shared" si="19"/>
        <v>43.41068249614387</v>
      </c>
      <c r="J97">
        <f t="shared" si="33"/>
        <v>43.559906091206599</v>
      </c>
      <c r="K97">
        <f t="shared" si="36"/>
        <v>49.675942124341333</v>
      </c>
      <c r="M97" s="15">
        <f t="shared" si="27"/>
        <v>0.91000000000000059</v>
      </c>
      <c r="N97">
        <f t="shared" si="34"/>
        <v>7.3240608489798464E-2</v>
      </c>
      <c r="O97">
        <f t="shared" si="20"/>
        <v>0.2056490455277043</v>
      </c>
      <c r="P97">
        <f t="shared" si="28"/>
        <v>-8.2217409874107625E-2</v>
      </c>
      <c r="Q97">
        <f t="shared" si="29"/>
        <v>-0.50415884152627544</v>
      </c>
      <c r="R97">
        <f t="shared" si="21"/>
        <v>-0.25222091748043596</v>
      </c>
      <c r="S97">
        <f t="shared" si="22"/>
        <v>4.8305467303922933E-3</v>
      </c>
      <c r="U97" s="15">
        <f t="shared" si="30"/>
        <v>0.91000000000000059</v>
      </c>
      <c r="V97">
        <f t="shared" si="35"/>
        <v>4.9735966271266427</v>
      </c>
      <c r="W97">
        <f t="shared" si="23"/>
        <v>2.6403372873357256E-2</v>
      </c>
      <c r="X97">
        <f t="shared" si="31"/>
        <v>0.84080240435679388</v>
      </c>
      <c r="Y97">
        <f t="shared" si="32"/>
        <v>-7.5901640925568614E-2</v>
      </c>
      <c r="Z97">
        <f t="shared" si="24"/>
        <v>7.3240608489798464E-2</v>
      </c>
      <c r="AA97">
        <f t="shared" si="25"/>
        <v>0.27888965401750276</v>
      </c>
    </row>
    <row r="98" spans="8:27" x14ac:dyDescent="0.25">
      <c r="H98" s="15">
        <f t="shared" si="26"/>
        <v>0.9200000000000006</v>
      </c>
      <c r="I98" s="9">
        <f t="shared" si="19"/>
        <v>43.555804892424263</v>
      </c>
      <c r="J98">
        <f t="shared" si="33"/>
        <v>43.703327210980675</v>
      </c>
      <c r="K98">
        <f t="shared" si="36"/>
        <v>49.683158904726341</v>
      </c>
      <c r="M98" s="15">
        <f t="shared" si="27"/>
        <v>0.9200000000000006</v>
      </c>
      <c r="N98">
        <f t="shared" si="34"/>
        <v>7.0718399314994101E-2</v>
      </c>
      <c r="O98">
        <f t="shared" si="20"/>
        <v>0.20071289790159655</v>
      </c>
      <c r="P98">
        <f t="shared" si="28"/>
        <v>-8.018560015696112E-2</v>
      </c>
      <c r="Q98">
        <f t="shared" si="29"/>
        <v>-0.49361476261077508</v>
      </c>
      <c r="R98">
        <f t="shared" si="21"/>
        <v>-0.23936875992920256</v>
      </c>
      <c r="S98">
        <f t="shared" si="22"/>
        <v>4.4383526077202695E-3</v>
      </c>
      <c r="U98" s="15">
        <f t="shared" si="30"/>
        <v>0.9200000000000006</v>
      </c>
      <c r="V98">
        <f t="shared" si="35"/>
        <v>4.9743290332115411</v>
      </c>
      <c r="W98">
        <f t="shared" si="23"/>
        <v>2.5670966788458927E-2</v>
      </c>
      <c r="X98">
        <f t="shared" si="31"/>
        <v>0.84106277605510293</v>
      </c>
      <c r="Y98">
        <f t="shared" si="32"/>
        <v>-7.3240608489832937E-2</v>
      </c>
      <c r="Z98">
        <f t="shared" si="24"/>
        <v>7.0718399314994101E-2</v>
      </c>
      <c r="AA98">
        <f t="shared" si="25"/>
        <v>0.27143129721659065</v>
      </c>
    </row>
    <row r="99" spans="8:27" x14ac:dyDescent="0.25">
      <c r="H99" s="15">
        <f t="shared" si="26"/>
        <v>0.9300000000000006</v>
      </c>
      <c r="I99" s="9">
        <f t="shared" si="19"/>
        <v>43.697731129179815</v>
      </c>
      <c r="J99">
        <f t="shared" si="33"/>
        <v>43.843554337330339</v>
      </c>
      <c r="K99">
        <f t="shared" si="36"/>
        <v>49.690214967156201</v>
      </c>
      <c r="M99" s="15">
        <f t="shared" si="27"/>
        <v>0.9300000000000006</v>
      </c>
      <c r="N99">
        <f t="shared" si="34"/>
        <v>6.8324711715702077E-2</v>
      </c>
      <c r="O99">
        <f t="shared" si="20"/>
        <v>0.19588148217051493</v>
      </c>
      <c r="P99">
        <f t="shared" si="28"/>
        <v>-7.8202628256600557E-2</v>
      </c>
      <c r="Q99">
        <f t="shared" si="29"/>
        <v>-0.48314157310816175</v>
      </c>
      <c r="R99">
        <f t="shared" si="21"/>
        <v>-0.2274565095237053</v>
      </c>
      <c r="S99">
        <f t="shared" si="22"/>
        <v>4.0815926730545515E-3</v>
      </c>
      <c r="U99" s="15">
        <f t="shared" si="30"/>
        <v>0.9300000000000006</v>
      </c>
      <c r="V99">
        <f t="shared" si="35"/>
        <v>4.9750362172046909</v>
      </c>
      <c r="W99">
        <f t="shared" si="23"/>
        <v>2.4963782795309086E-2</v>
      </c>
      <c r="X99">
        <f t="shared" si="31"/>
        <v>0.84131594980302182</v>
      </c>
      <c r="Y99">
        <f t="shared" si="32"/>
        <v>-7.0718399314984026E-2</v>
      </c>
      <c r="Z99">
        <f t="shared" si="24"/>
        <v>6.8324711715702077E-2</v>
      </c>
      <c r="AA99">
        <f t="shared" si="25"/>
        <v>0.26420619388621702</v>
      </c>
    </row>
    <row r="100" spans="8:27" x14ac:dyDescent="0.25">
      <c r="H100" s="15">
        <f t="shared" si="26"/>
        <v>0.94000000000000061</v>
      </c>
      <c r="I100" s="9">
        <f t="shared" si="19"/>
        <v>43.836531598272636</v>
      </c>
      <c r="J100">
        <f t="shared" si="33"/>
        <v>43.980658600602446</v>
      </c>
      <c r="K100">
        <f t="shared" si="36"/>
        <v>49.69711389082547</v>
      </c>
      <c r="M100" s="15">
        <f t="shared" si="27"/>
        <v>0.94000000000000061</v>
      </c>
      <c r="N100">
        <f t="shared" si="34"/>
        <v>6.6050146620465031E-2</v>
      </c>
      <c r="O100">
        <f t="shared" si="20"/>
        <v>0.19115392565948564</v>
      </c>
      <c r="P100">
        <f t="shared" si="28"/>
        <v>-7.6267451217450558E-2</v>
      </c>
      <c r="Q100">
        <f t="shared" si="29"/>
        <v>-0.47275565110292961</v>
      </c>
      <c r="R100">
        <f t="shared" si="21"/>
        <v>-0.21640225199187774</v>
      </c>
      <c r="S100">
        <f t="shared" si="22"/>
        <v>3.7569612793107998E-3</v>
      </c>
      <c r="U100" s="15">
        <f t="shared" si="30"/>
        <v>0.94000000000000061</v>
      </c>
      <c r="V100">
        <f t="shared" si="35"/>
        <v>4.9757194643218483</v>
      </c>
      <c r="W100">
        <f t="shared" si="23"/>
        <v>2.4280535678151693E-2</v>
      </c>
      <c r="X100">
        <f t="shared" si="31"/>
        <v>0.84156217139538914</v>
      </c>
      <c r="Y100">
        <f t="shared" si="32"/>
        <v>-6.8324711715739284E-2</v>
      </c>
      <c r="Z100">
        <f t="shared" si="24"/>
        <v>6.6050146620465031E-2</v>
      </c>
      <c r="AA100">
        <f t="shared" si="25"/>
        <v>0.25720407227995068</v>
      </c>
    </row>
    <row r="101" spans="8:27" x14ac:dyDescent="0.25">
      <c r="H101" s="15">
        <f t="shared" si="26"/>
        <v>0.95000000000000062</v>
      </c>
      <c r="I101" s="9">
        <f t="shared" si="19"/>
        <v>43.97227514126228</v>
      </c>
      <c r="J101">
        <f t="shared" si="33"/>
        <v>44.1147095470685</v>
      </c>
      <c r="K101">
        <f t="shared" si="36"/>
        <v>49.703859175219925</v>
      </c>
      <c r="M101" s="15">
        <f t="shared" si="27"/>
        <v>0.95000000000000062</v>
      </c>
      <c r="N101">
        <f t="shared" si="34"/>
        <v>6.3886124100546254E-2</v>
      </c>
      <c r="O101">
        <f t="shared" si="20"/>
        <v>0.18652921313259854</v>
      </c>
      <c r="P101">
        <f t="shared" si="28"/>
        <v>-7.4379035523490136E-2</v>
      </c>
      <c r="Q101">
        <f t="shared" si="29"/>
        <v>-0.46247125268870926</v>
      </c>
      <c r="R101">
        <f t="shared" si="21"/>
        <v>-0.20613163645666246</v>
      </c>
      <c r="S101">
        <f t="shared" si="22"/>
        <v>3.4614638791406749E-3</v>
      </c>
      <c r="U101" s="15">
        <f t="shared" si="30"/>
        <v>0.95000000000000062</v>
      </c>
      <c r="V101">
        <f t="shared" si="35"/>
        <v>4.9763799657880528</v>
      </c>
      <c r="W101">
        <f t="shared" si="23"/>
        <v>2.362003421194725E-2</v>
      </c>
      <c r="X101">
        <f t="shared" si="31"/>
        <v>0.84180167424483965</v>
      </c>
      <c r="Y101">
        <f t="shared" si="32"/>
        <v>-6.6050146620444394E-2</v>
      </c>
      <c r="Z101">
        <f t="shared" si="24"/>
        <v>6.3886124100546254E-2</v>
      </c>
      <c r="AA101">
        <f t="shared" si="25"/>
        <v>0.2504153372331448</v>
      </c>
    </row>
    <row r="102" spans="8:27" x14ac:dyDescent="0.25">
      <c r="H102" s="15">
        <f t="shared" si="26"/>
        <v>0.96000000000000063</v>
      </c>
      <c r="I102" s="9">
        <f t="shared" si="19"/>
        <v>44.105029083549482</v>
      </c>
      <c r="J102">
        <f t="shared" si="33"/>
        <v>44.245775174202073</v>
      </c>
      <c r="K102">
        <f t="shared" si="36"/>
        <v>49.710454241891668</v>
      </c>
      <c r="M102" s="15">
        <f t="shared" si="27"/>
        <v>0.96000000000000063</v>
      </c>
      <c r="N102">
        <f t="shared" si="34"/>
        <v>6.1824807735979627E-2</v>
      </c>
      <c r="O102">
        <f t="shared" si="20"/>
        <v>0.18200620586507146</v>
      </c>
      <c r="P102">
        <f t="shared" si="28"/>
        <v>-7.2536358428501785E-2</v>
      </c>
      <c r="Q102">
        <f t="shared" si="29"/>
        <v>-0.45230072675270794</v>
      </c>
      <c r="R102">
        <f t="shared" si="21"/>
        <v>-0.19657716564229055</v>
      </c>
      <c r="S102">
        <f t="shared" si="22"/>
        <v>3.192387679893105E-3</v>
      </c>
      <c r="U102" s="15">
        <f t="shared" si="30"/>
        <v>0.96000000000000063</v>
      </c>
      <c r="V102">
        <f t="shared" si="35"/>
        <v>4.9770188270290578</v>
      </c>
      <c r="W102">
        <f t="shared" si="23"/>
        <v>2.2981172970942154E-2</v>
      </c>
      <c r="X102">
        <f t="shared" si="31"/>
        <v>0.84203468028075412</v>
      </c>
      <c r="Y102">
        <f t="shared" si="32"/>
        <v>-6.3886124100509534E-2</v>
      </c>
      <c r="Z102">
        <f t="shared" si="24"/>
        <v>6.1824807735979627E-2</v>
      </c>
      <c r="AA102">
        <f t="shared" si="25"/>
        <v>0.24383101360105108</v>
      </c>
    </row>
    <row r="103" spans="8:27" x14ac:dyDescent="0.25">
      <c r="H103" s="15">
        <f t="shared" si="26"/>
        <v>0.97000000000000064</v>
      </c>
      <c r="I103" s="9">
        <f t="shared" si="19"/>
        <v>44.234859267767781</v>
      </c>
      <c r="J103">
        <f t="shared" si="33"/>
        <v>44.373921965170581</v>
      </c>
      <c r="K103">
        <f t="shared" si="36"/>
        <v>49.716902436194708</v>
      </c>
      <c r="M103" s="15">
        <f t="shared" si="27"/>
        <v>0.97000000000000064</v>
      </c>
      <c r="N103">
        <f t="shared" si="34"/>
        <v>5.985903607955672E-2</v>
      </c>
      <c r="O103">
        <f t="shared" si="20"/>
        <v>0.17758365877544319</v>
      </c>
      <c r="P103">
        <f t="shared" si="28"/>
        <v>-7.0738409105299216E-2</v>
      </c>
      <c r="Q103">
        <f t="shared" si="29"/>
        <v>-0.44225470896282759</v>
      </c>
      <c r="R103">
        <f t="shared" si="21"/>
        <v>-0.18767755292702071</v>
      </c>
      <c r="S103">
        <f t="shared" si="22"/>
        <v>2.9472750652379809E-3</v>
      </c>
      <c r="U103" s="15">
        <f t="shared" si="30"/>
        <v>0.97000000000000064</v>
      </c>
      <c r="V103">
        <f t="shared" si="35"/>
        <v>4.9776370751064176</v>
      </c>
      <c r="W103">
        <f t="shared" si="23"/>
        <v>2.2362924893582381E-2</v>
      </c>
      <c r="X103">
        <f t="shared" si="31"/>
        <v>0.84226140077007672</v>
      </c>
      <c r="Y103">
        <f t="shared" si="32"/>
        <v>-6.1824807735977316E-2</v>
      </c>
      <c r="Z103">
        <f t="shared" si="24"/>
        <v>5.985903607955672E-2</v>
      </c>
      <c r="AA103">
        <f t="shared" si="25"/>
        <v>0.23744269485499991</v>
      </c>
    </row>
    <row r="104" spans="8:27" x14ac:dyDescent="0.25">
      <c r="H104" s="15">
        <f t="shared" si="26"/>
        <v>0.98000000000000065</v>
      </c>
      <c r="I104" s="9">
        <f t="shared" si="19"/>
        <v>44.361830086439909</v>
      </c>
      <c r="J104">
        <f t="shared" si="33"/>
        <v>44.499214922558949</v>
      </c>
      <c r="K104">
        <f t="shared" si="36"/>
        <v>49.723207028981911</v>
      </c>
      <c r="M104" s="15">
        <f t="shared" si="27"/>
        <v>0.98000000000000065</v>
      </c>
      <c r="N104">
        <f t="shared" si="34"/>
        <v>5.7982260550286512E-2</v>
      </c>
      <c r="O104">
        <f t="shared" si="20"/>
        <v>0.17326023580335606</v>
      </c>
      <c r="P104">
        <f t="shared" si="28"/>
        <v>-6.8984189632405213E-2</v>
      </c>
      <c r="Q104">
        <f t="shared" si="29"/>
        <v>-0.43234229720871264</v>
      </c>
      <c r="R104">
        <f t="shared" si="21"/>
        <v>-0.17937714003003921</v>
      </c>
      <c r="S104">
        <f t="shared" si="22"/>
        <v>2.7238995274010691E-3</v>
      </c>
      <c r="U104" s="15">
        <f t="shared" si="30"/>
        <v>0.98000000000000065</v>
      </c>
      <c r="V104">
        <f t="shared" si="35"/>
        <v>4.9782356654672135</v>
      </c>
      <c r="W104">
        <f t="shared" si="23"/>
        <v>2.1764334532786478E-2</v>
      </c>
      <c r="X104">
        <f t="shared" si="31"/>
        <v>0.84248203706720859</v>
      </c>
      <c r="Y104">
        <f t="shared" si="32"/>
        <v>-5.9859036079590311E-2</v>
      </c>
      <c r="Z104">
        <f t="shared" si="24"/>
        <v>5.7982260550286512E-2</v>
      </c>
      <c r="AA104">
        <f t="shared" si="25"/>
        <v>0.23124249635364258</v>
      </c>
    </row>
    <row r="105" spans="8:27" x14ac:dyDescent="0.25">
      <c r="H105" s="15">
        <f t="shared" si="26"/>
        <v>0.99000000000000066</v>
      </c>
      <c r="I105" s="9">
        <f t="shared" si="19"/>
        <v>44.486004513914843</v>
      </c>
      <c r="J105">
        <f t="shared" si="33"/>
        <v>44.621717601342233</v>
      </c>
      <c r="K105">
        <f t="shared" si="36"/>
        <v>49.72937121826412</v>
      </c>
      <c r="M105" s="15">
        <f t="shared" si="27"/>
        <v>0.99000000000000066</v>
      </c>
      <c r="N105">
        <f t="shared" si="34"/>
        <v>5.6188489149986122E-2</v>
      </c>
      <c r="O105">
        <f t="shared" si="20"/>
        <v>0.16903452370226976</v>
      </c>
      <c r="P105">
        <f t="shared" si="28"/>
        <v>-6.7272715834877081E-2</v>
      </c>
      <c r="Q105">
        <f t="shared" si="29"/>
        <v>-0.42257121010862986</v>
      </c>
      <c r="R105">
        <f t="shared" si="21"/>
        <v>-0.17162536957169033</v>
      </c>
      <c r="S105">
        <f t="shared" si="22"/>
        <v>2.5202438709321928E-3</v>
      </c>
      <c r="U105" s="15">
        <f t="shared" si="30"/>
        <v>0.99000000000000066</v>
      </c>
      <c r="V105">
        <f t="shared" si="35"/>
        <v>4.9788154880727165</v>
      </c>
      <c r="W105">
        <f t="shared" si="23"/>
        <v>2.1184511927283545E-2</v>
      </c>
      <c r="X105">
        <f t="shared" si="31"/>
        <v>0.84269678129950898</v>
      </c>
      <c r="Y105">
        <f t="shared" si="32"/>
        <v>-5.7982260550293319E-2</v>
      </c>
      <c r="Z105">
        <f t="shared" si="24"/>
        <v>5.6188489149986122E-2</v>
      </c>
      <c r="AA105">
        <f t="shared" si="25"/>
        <v>0.22522301285225588</v>
      </c>
    </row>
    <row r="106" spans="8:27" x14ac:dyDescent="0.25">
      <c r="H106" s="15">
        <f t="shared" si="26"/>
        <v>1.0000000000000007</v>
      </c>
      <c r="I106" s="9">
        <f t="shared" si="19"/>
        <v>44.607444137601462</v>
      </c>
      <c r="J106">
        <f t="shared" si="33"/>
        <v>44.741492141123935</v>
      </c>
      <c r="K106">
        <f t="shared" si="36"/>
        <v>49.735398130832372</v>
      </c>
      <c r="M106" s="15">
        <f t="shared" si="27"/>
        <v>1.0000000000000007</v>
      </c>
      <c r="N106">
        <f t="shared" si="34"/>
        <v>5.447223545426922E-2</v>
      </c>
      <c r="O106">
        <f t="shared" si="20"/>
        <v>0.16490504440014037</v>
      </c>
      <c r="P106">
        <f t="shared" si="28"/>
        <v>-6.5603017994365034E-2</v>
      </c>
      <c r="Q106">
        <f t="shared" si="29"/>
        <v>-0.41294793021293963</v>
      </c>
      <c r="R106">
        <f t="shared" si="21"/>
        <v>-0.1643763073309979</v>
      </c>
      <c r="S106">
        <f t="shared" si="22"/>
        <v>2.3344804736738223E-3</v>
      </c>
      <c r="U106" s="15">
        <f t="shared" si="30"/>
        <v>1.0000000000000007</v>
      </c>
      <c r="V106">
        <f t="shared" si="35"/>
        <v>4.9793773729642163</v>
      </c>
      <c r="W106">
        <f t="shared" si="23"/>
        <v>2.0622627035783658E-2</v>
      </c>
      <c r="X106">
        <f t="shared" si="31"/>
        <v>0.84290581699432432</v>
      </c>
      <c r="Y106">
        <f t="shared" si="32"/>
        <v>-5.6188489149988641E-2</v>
      </c>
      <c r="Z106">
        <f t="shared" si="24"/>
        <v>5.447223545426922E-2</v>
      </c>
      <c r="AA106">
        <f t="shared" si="25"/>
        <v>0.21937727985440958</v>
      </c>
    </row>
    <row r="107" spans="8:27" x14ac:dyDescent="0.25">
      <c r="H107" s="15">
        <f t="shared" si="26"/>
        <v>1.0100000000000007</v>
      </c>
      <c r="I107" s="9">
        <f t="shared" si="19"/>
        <v>44.726209188514432</v>
      </c>
      <c r="J107">
        <f t="shared" si="33"/>
        <v>44.85859929765639</v>
      </c>
      <c r="K107">
        <f t="shared" si="36"/>
        <v>49.741290823843961</v>
      </c>
      <c r="M107" s="15">
        <f t="shared" si="27"/>
        <v>1.0100000000000007</v>
      </c>
      <c r="N107">
        <f t="shared" si="34"/>
        <v>5.2828472380959238E-2</v>
      </c>
      <c r="O107">
        <f t="shared" si="20"/>
        <v>0.1608702660667819</v>
      </c>
      <c r="P107">
        <f t="shared" si="28"/>
        <v>-6.3974141442030424E-2</v>
      </c>
      <c r="Q107">
        <f t="shared" si="29"/>
        <v>-0.40347783333584686</v>
      </c>
      <c r="R107">
        <f t="shared" si="21"/>
        <v>-0.15758820949667002</v>
      </c>
      <c r="S107">
        <f t="shared" si="22"/>
        <v>2.1649534099467682E-3</v>
      </c>
      <c r="U107" s="15">
        <f t="shared" si="30"/>
        <v>1.0100000000000007</v>
      </c>
      <c r="V107">
        <f t="shared" si="35"/>
        <v>4.9799220953187593</v>
      </c>
      <c r="W107">
        <f t="shared" si="23"/>
        <v>2.007790468124071E-2</v>
      </c>
      <c r="X107">
        <f t="shared" si="31"/>
        <v>0.84310931965290947</v>
      </c>
      <c r="Y107">
        <f t="shared" si="32"/>
        <v>-5.4472235454294804E-2</v>
      </c>
      <c r="Z107">
        <f t="shared" si="24"/>
        <v>5.2828472380959238E-2</v>
      </c>
      <c r="AA107">
        <f t="shared" si="25"/>
        <v>0.21369873844774112</v>
      </c>
    </row>
    <row r="108" spans="8:27" x14ac:dyDescent="0.25">
      <c r="H108" s="15">
        <f t="shared" si="26"/>
        <v>1.0200000000000007</v>
      </c>
      <c r="I108" s="9">
        <f t="shared" si="19"/>
        <v>44.842358571147209</v>
      </c>
      <c r="J108">
        <f t="shared" si="33"/>
        <v>44.973098473659164</v>
      </c>
      <c r="K108">
        <f t="shared" si="36"/>
        <v>49.747052286373176</v>
      </c>
      <c r="M108" s="15">
        <f t="shared" si="27"/>
        <v>1.0200000000000007</v>
      </c>
      <c r="N108">
        <f t="shared" si="34"/>
        <v>5.1252590285992536E-2</v>
      </c>
      <c r="O108">
        <f t="shared" si="20"/>
        <v>0.1569286130126793</v>
      </c>
      <c r="P108">
        <f t="shared" si="28"/>
        <v>-6.2385147046633116E-2</v>
      </c>
      <c r="Q108">
        <f t="shared" si="29"/>
        <v>-0.39416530541026007</v>
      </c>
      <c r="R108">
        <f t="shared" si="21"/>
        <v>-0.15122313069883236</v>
      </c>
      <c r="S108">
        <f t="shared" si="22"/>
        <v>2.0101622619095871E-3</v>
      </c>
      <c r="U108" s="15">
        <f t="shared" si="30"/>
        <v>1.0200000000000007</v>
      </c>
      <c r="V108">
        <f t="shared" si="35"/>
        <v>4.9804503800425692</v>
      </c>
      <c r="W108">
        <f t="shared" si="23"/>
        <v>1.9549619957430764E-2</v>
      </c>
      <c r="X108">
        <f t="shared" si="31"/>
        <v>0.84330745727610279</v>
      </c>
      <c r="Y108">
        <f t="shared" si="32"/>
        <v>-5.282847238099464E-2</v>
      </c>
      <c r="Z108">
        <f t="shared" si="24"/>
        <v>5.1252590285992536E-2</v>
      </c>
      <c r="AA108">
        <f t="shared" si="25"/>
        <v>0.20818120329867185</v>
      </c>
    </row>
    <row r="109" spans="8:27" x14ac:dyDescent="0.25">
      <c r="H109" s="15">
        <f t="shared" si="26"/>
        <v>1.0300000000000007</v>
      </c>
      <c r="I109" s="9">
        <f t="shared" si="19"/>
        <v>44.955949892687286</v>
      </c>
      <c r="J109">
        <f t="shared" si="33"/>
        <v>45.085047748951155</v>
      </c>
      <c r="K109">
        <f t="shared" si="36"/>
        <v>49.752685440927507</v>
      </c>
      <c r="M109" s="15">
        <f t="shared" si="27"/>
        <v>1.0300000000000007</v>
      </c>
      <c r="N109">
        <f t="shared" si="34"/>
        <v>4.9740358979004209E-2</v>
      </c>
      <c r="O109">
        <f t="shared" si="20"/>
        <v>0.15307847453287282</v>
      </c>
      <c r="P109">
        <f t="shared" si="28"/>
        <v>-6.0835111608905354E-2</v>
      </c>
      <c r="Q109">
        <f t="shared" si="29"/>
        <v>-0.38501384798064753</v>
      </c>
      <c r="R109">
        <f t="shared" si="21"/>
        <v>-0.14524656895232432</v>
      </c>
      <c r="S109">
        <f t="shared" si="22"/>
        <v>1.8687474585876163E-3</v>
      </c>
      <c r="U109" s="15">
        <f t="shared" si="30"/>
        <v>1.0300000000000007</v>
      </c>
      <c r="V109">
        <f t="shared" si="35"/>
        <v>4.9809629059454288</v>
      </c>
      <c r="W109">
        <f t="shared" si="23"/>
        <v>1.9037094054571213E-2</v>
      </c>
      <c r="X109">
        <f t="shared" si="31"/>
        <v>0.8435003908461628</v>
      </c>
      <c r="Y109">
        <f t="shared" si="32"/>
        <v>-5.125259028595508E-2</v>
      </c>
      <c r="Z109">
        <f t="shared" si="24"/>
        <v>4.9740358979004209E-2</v>
      </c>
      <c r="AA109">
        <f t="shared" si="25"/>
        <v>0.20281883351187702</v>
      </c>
    </row>
    <row r="110" spans="8:27" x14ac:dyDescent="0.25">
      <c r="H110" s="15">
        <f t="shared" si="26"/>
        <v>1.0400000000000007</v>
      </c>
      <c r="I110" s="9">
        <f t="shared" si="19"/>
        <v>45.067039491587813</v>
      </c>
      <c r="J110">
        <f t="shared" si="33"/>
        <v>45.194503909911639</v>
      </c>
      <c r="K110">
        <f t="shared" si="36"/>
        <v>49.758193144930111</v>
      </c>
      <c r="M110" s="15">
        <f t="shared" si="27"/>
        <v>1.0400000000000007</v>
      </c>
      <c r="N110">
        <f t="shared" si="34"/>
        <v>4.8287893289480965E-2</v>
      </c>
      <c r="O110">
        <f t="shared" si="20"/>
        <v>0.1493182127983797</v>
      </c>
      <c r="P110">
        <f t="shared" si="28"/>
        <v>-5.9323128172249093E-2</v>
      </c>
      <c r="Q110">
        <f t="shared" si="29"/>
        <v>-0.376026173449312</v>
      </c>
      <c r="R110">
        <f t="shared" si="21"/>
        <v>-0.13962714404054766</v>
      </c>
      <c r="S110">
        <f t="shared" si="22"/>
        <v>1.7394769989791947E-3</v>
      </c>
      <c r="U110" s="15">
        <f t="shared" si="30"/>
        <v>1.0400000000000007</v>
      </c>
      <c r="V110">
        <f t="shared" si="35"/>
        <v>4.981460309535219</v>
      </c>
      <c r="W110">
        <f t="shared" si="23"/>
        <v>1.8539690464780989E-2</v>
      </c>
      <c r="X110">
        <f t="shared" si="31"/>
        <v>0.84368827476875952</v>
      </c>
      <c r="Y110">
        <f t="shared" si="32"/>
        <v>-4.9740358979022403E-2</v>
      </c>
      <c r="Z110">
        <f t="shared" si="24"/>
        <v>4.8287893289480965E-2</v>
      </c>
      <c r="AA110">
        <f t="shared" si="25"/>
        <v>0.19760610608786067</v>
      </c>
    </row>
    <row r="111" spans="8:27" x14ac:dyDescent="0.25">
      <c r="H111" s="15">
        <f t="shared" si="26"/>
        <v>1.0500000000000007</v>
      </c>
      <c r="I111" s="9">
        <f t="shared" si="19"/>
        <v>45.175682465510128</v>
      </c>
      <c r="J111">
        <f t="shared" si="33"/>
        <v>45.301522478285207</v>
      </c>
      <c r="K111">
        <f t="shared" si="36"/>
        <v>49.76357819216922</v>
      </c>
      <c r="M111" s="15">
        <f t="shared" si="27"/>
        <v>1.0500000000000007</v>
      </c>
      <c r="N111">
        <f t="shared" si="34"/>
        <v>4.6891621849075492E-2</v>
      </c>
      <c r="O111">
        <f t="shared" si="20"/>
        <v>0.14564616988879239</v>
      </c>
      <c r="P111">
        <f t="shared" si="28"/>
        <v>-5.784830625881323E-2</v>
      </c>
      <c r="Q111">
        <f t="shared" si="29"/>
        <v>-0.36720429095873086</v>
      </c>
      <c r="R111">
        <f t="shared" si="21"/>
        <v>-0.13433630613841935</v>
      </c>
      <c r="S111">
        <f t="shared" si="22"/>
        <v>1.6212344260686795E-3</v>
      </c>
      <c r="U111" s="15">
        <f t="shared" si="30"/>
        <v>1.0500000000000007</v>
      </c>
      <c r="V111">
        <f t="shared" si="35"/>
        <v>4.9819431884681142</v>
      </c>
      <c r="W111">
        <f t="shared" si="23"/>
        <v>1.8056811531885764E-2</v>
      </c>
      <c r="X111">
        <f t="shared" si="31"/>
        <v>0.8438712572787429</v>
      </c>
      <c r="Y111">
        <f t="shared" si="32"/>
        <v>-4.8287893289522543E-2</v>
      </c>
      <c r="Z111">
        <f t="shared" si="24"/>
        <v>4.6891621849075492E-2</v>
      </c>
      <c r="AA111">
        <f t="shared" si="25"/>
        <v>0.19253779173786789</v>
      </c>
    </row>
    <row r="112" spans="8:27" x14ac:dyDescent="0.25">
      <c r="H112" s="15">
        <f t="shared" si="26"/>
        <v>1.0600000000000007</v>
      </c>
      <c r="I112" s="9">
        <f t="shared" si="19"/>
        <v>45.281932698650813</v>
      </c>
      <c r="J112">
        <f t="shared" si="33"/>
        <v>45.406157739345225</v>
      </c>
      <c r="K112">
        <f t="shared" si="36"/>
        <v>49.76884331421531</v>
      </c>
      <c r="M112" s="15">
        <f t="shared" si="27"/>
        <v>1.0600000000000007</v>
      </c>
      <c r="N112">
        <f t="shared" si="34"/>
        <v>4.5548258787691295E-2</v>
      </c>
      <c r="O112">
        <f t="shared" si="20"/>
        <v>0.14206067404849654</v>
      </c>
      <c r="P112">
        <f t="shared" si="28"/>
        <v>-5.6409772039126782E-2</v>
      </c>
      <c r="Q112">
        <f t="shared" si="29"/>
        <v>-0.35854958402958548</v>
      </c>
      <c r="R112">
        <f t="shared" si="21"/>
        <v>-0.1293480719198955</v>
      </c>
      <c r="S112">
        <f t="shared" si="22"/>
        <v>1.5130079389366891E-3</v>
      </c>
      <c r="U112" s="15">
        <f t="shared" si="30"/>
        <v>1.0600000000000007</v>
      </c>
      <c r="V112">
        <f t="shared" si="35"/>
        <v>4.9824121046866052</v>
      </c>
      <c r="W112">
        <f t="shared" si="23"/>
        <v>1.7587895313394775E-2</v>
      </c>
      <c r="X112">
        <f t="shared" si="31"/>
        <v>0.84404948081296927</v>
      </c>
      <c r="Y112">
        <f t="shared" si="32"/>
        <v>-4.6891621849098897E-2</v>
      </c>
      <c r="Z112">
        <f t="shared" si="24"/>
        <v>4.5548258787691295E-2</v>
      </c>
      <c r="AA112">
        <f t="shared" si="25"/>
        <v>0.18760893283618785</v>
      </c>
    </row>
    <row r="113" spans="8:27" x14ac:dyDescent="0.25">
      <c r="H113" s="15">
        <f t="shared" si="26"/>
        <v>1.0700000000000007</v>
      </c>
      <c r="I113" s="9">
        <f t="shared" si="19"/>
        <v>45.385842888466875</v>
      </c>
      <c r="J113">
        <f t="shared" si="33"/>
        <v>45.508462769430103</v>
      </c>
      <c r="K113">
        <f t="shared" si="36"/>
        <v>49.773991181806686</v>
      </c>
      <c r="M113" s="15">
        <f t="shared" si="27"/>
        <v>1.0700000000000007</v>
      </c>
      <c r="N113">
        <f t="shared" si="34"/>
        <v>4.4254778068492338E-2</v>
      </c>
      <c r="O113">
        <f t="shared" si="20"/>
        <v>0.1385600452438793</v>
      </c>
      <c r="P113">
        <f t="shared" si="28"/>
        <v>-5.5006668442664899E-2</v>
      </c>
      <c r="Q113">
        <f t="shared" si="29"/>
        <v>-0.35006288046172396</v>
      </c>
      <c r="R113">
        <f t="shared" si="21"/>
        <v>-0.12463878545733763</v>
      </c>
      <c r="S113">
        <f t="shared" si="22"/>
        <v>1.4138805301831259E-3</v>
      </c>
      <c r="U113" s="15">
        <f t="shared" si="30"/>
        <v>1.0700000000000007</v>
      </c>
      <c r="V113">
        <f t="shared" si="35"/>
        <v>4.9828675872744821</v>
      </c>
      <c r="W113">
        <f t="shared" si="23"/>
        <v>1.7132412725517909E-2</v>
      </c>
      <c r="X113">
        <f t="shared" si="31"/>
        <v>0.84422308235316379</v>
      </c>
      <c r="Y113">
        <f t="shared" si="32"/>
        <v>-4.5548258787686535E-2</v>
      </c>
      <c r="Z113">
        <f t="shared" si="24"/>
        <v>4.4254778068492338E-2</v>
      </c>
      <c r="AA113">
        <f t="shared" si="25"/>
        <v>0.18281482331237164</v>
      </c>
    </row>
    <row r="114" spans="8:27" x14ac:dyDescent="0.25">
      <c r="H114" s="15">
        <f t="shared" si="26"/>
        <v>1.0800000000000007</v>
      </c>
      <c r="I114" s="9">
        <f t="shared" si="19"/>
        <v>45.487464571812382</v>
      </c>
      <c r="J114">
        <f t="shared" si="33"/>
        <v>45.608489462866309</v>
      </c>
      <c r="K114">
        <f t="shared" si="36"/>
        <v>49.779024406204215</v>
      </c>
      <c r="M114" s="15">
        <f t="shared" si="27"/>
        <v>1.0800000000000007</v>
      </c>
      <c r="N114">
        <f t="shared" si="34"/>
        <v>4.3008390213918959E-2</v>
      </c>
      <c r="O114">
        <f t="shared" si="20"/>
        <v>0.13514260008980677</v>
      </c>
      <c r="P114">
        <f t="shared" si="28"/>
        <v>-5.3638155215996471E-2</v>
      </c>
      <c r="Q114">
        <f t="shared" si="29"/>
        <v>-0.34174451540725237</v>
      </c>
      <c r="R114">
        <f t="shared" si="21"/>
        <v>-0.1201869016224086</v>
      </c>
      <c r="S114">
        <f t="shared" si="22"/>
        <v>1.3230210544413479E-3</v>
      </c>
      <c r="U114" s="15">
        <f t="shared" si="30"/>
        <v>1.0800000000000007</v>
      </c>
      <c r="V114">
        <f t="shared" si="35"/>
        <v>4.9833101350551674</v>
      </c>
      <c r="W114">
        <f t="shared" si="23"/>
        <v>1.66898649448326E-2</v>
      </c>
      <c r="X114">
        <f t="shared" si="31"/>
        <v>0.84439219374151553</v>
      </c>
      <c r="Y114">
        <f t="shared" si="32"/>
        <v>-4.4254778068530953E-2</v>
      </c>
      <c r="Z114">
        <f t="shared" si="24"/>
        <v>4.3008390213918959E-2</v>
      </c>
      <c r="AA114">
        <f t="shared" si="25"/>
        <v>0.17815099030372572</v>
      </c>
    </row>
    <row r="115" spans="8:27" x14ac:dyDescent="0.25">
      <c r="H115" s="15">
        <f t="shared" si="26"/>
        <v>1.0900000000000007</v>
      </c>
      <c r="I115" s="9">
        <f t="shared" si="19"/>
        <v>45.586848150499478</v>
      </c>
      <c r="J115">
        <f t="shared" si="33"/>
        <v>45.706288558291824</v>
      </c>
      <c r="K115">
        <f t="shared" si="36"/>
        <v>49.78394554051588</v>
      </c>
      <c r="M115" s="15">
        <f t="shared" si="27"/>
        <v>1.0900000000000007</v>
      </c>
      <c r="N115">
        <f t="shared" si="34"/>
        <v>4.1806521197694874E-2</v>
      </c>
      <c r="O115">
        <f t="shared" si="20"/>
        <v>0.13180665620766799</v>
      </c>
      <c r="P115">
        <f t="shared" si="28"/>
        <v>-5.2303408934509098E-2</v>
      </c>
      <c r="Q115">
        <f t="shared" si="29"/>
        <v>-0.33359438821387866</v>
      </c>
      <c r="R115">
        <f t="shared" si="21"/>
        <v>-0.11597278985224761</v>
      </c>
      <c r="S115">
        <f t="shared" si="22"/>
        <v>1.2396761393483058E-3</v>
      </c>
      <c r="U115" s="15">
        <f t="shared" si="30"/>
        <v>1.0900000000000007</v>
      </c>
      <c r="V115">
        <f t="shared" si="35"/>
        <v>4.9837402189573066</v>
      </c>
      <c r="W115">
        <f t="shared" si="23"/>
        <v>1.6259781042693433E-2</v>
      </c>
      <c r="X115">
        <f t="shared" si="31"/>
        <v>0.84455694197145315</v>
      </c>
      <c r="Y115">
        <f t="shared" si="32"/>
        <v>-4.300839021391667E-2</v>
      </c>
      <c r="Z115">
        <f t="shared" si="24"/>
        <v>4.1806521197694874E-2</v>
      </c>
      <c r="AA115">
        <f t="shared" si="25"/>
        <v>0.17361317740536286</v>
      </c>
    </row>
    <row r="116" spans="8:27" x14ac:dyDescent="0.25">
      <c r="H116" s="15">
        <f t="shared" si="26"/>
        <v>1.1000000000000008</v>
      </c>
      <c r="I116" s="9">
        <f t="shared" si="19"/>
        <v>45.684042916296384</v>
      </c>
      <c r="J116">
        <f t="shared" si="33"/>
        <v>45.801909664393349</v>
      </c>
      <c r="K116">
        <f t="shared" si="36"/>
        <v>49.788757080991878</v>
      </c>
      <c r="M116" s="15">
        <f t="shared" si="27"/>
        <v>1.1000000000000008</v>
      </c>
      <c r="N116">
        <f t="shared" si="34"/>
        <v>4.0646793299172396E-2</v>
      </c>
      <c r="O116">
        <f t="shared" si="20"/>
        <v>0.12855053607057734</v>
      </c>
      <c r="P116">
        <f t="shared" si="28"/>
        <v>-5.1001622973117874E-2</v>
      </c>
      <c r="Q116">
        <f t="shared" si="29"/>
        <v>-0.32561201370906456</v>
      </c>
      <c r="R116">
        <f t="shared" si="21"/>
        <v>-0.11197855639867997</v>
      </c>
      <c r="S116">
        <f t="shared" si="22"/>
        <v>1.1631628615253464E-3</v>
      </c>
      <c r="U116" s="15">
        <f t="shared" si="30"/>
        <v>1.1000000000000008</v>
      </c>
      <c r="V116">
        <f t="shared" si="35"/>
        <v>4.9841582841692835</v>
      </c>
      <c r="W116">
        <f t="shared" si="23"/>
        <v>1.5841715830716474E-2</v>
      </c>
      <c r="X116">
        <f t="shared" si="31"/>
        <v>0.84471744945582017</v>
      </c>
      <c r="Y116">
        <f t="shared" si="32"/>
        <v>-4.1806521197695901E-2</v>
      </c>
      <c r="Z116">
        <f t="shared" si="24"/>
        <v>4.0646793299172396E-2</v>
      </c>
      <c r="AA116">
        <f t="shared" si="25"/>
        <v>0.16919732936974974</v>
      </c>
    </row>
    <row r="117" spans="8:27" x14ac:dyDescent="0.25">
      <c r="H117" s="15">
        <f t="shared" si="26"/>
        <v>1.1100000000000008</v>
      </c>
      <c r="I117" s="9">
        <f t="shared" si="19"/>
        <v>45.779097075374906</v>
      </c>
      <c r="J117">
        <f t="shared" si="33"/>
        <v>45.895401285070392</v>
      </c>
      <c r="K117">
        <f t="shared" si="36"/>
        <v>49.793461468290815</v>
      </c>
      <c r="M117" s="15">
        <f t="shared" si="27"/>
        <v>1.1100000000000008</v>
      </c>
      <c r="N117">
        <f t="shared" si="34"/>
        <v>3.9527007735185596E-2</v>
      </c>
      <c r="O117">
        <f t="shared" si="20"/>
        <v>0.12537257038791949</v>
      </c>
      <c r="P117">
        <f t="shared" si="28"/>
        <v>-4.9732007440825392E-2</v>
      </c>
      <c r="Q117">
        <f t="shared" si="29"/>
        <v>-0.31779656826578517</v>
      </c>
      <c r="R117">
        <f t="shared" si="21"/>
        <v>-0.10818788323528841</v>
      </c>
      <c r="S117">
        <f t="shared" si="22"/>
        <v>1.0928621109458359E-3</v>
      </c>
      <c r="U117" s="15">
        <f t="shared" si="30"/>
        <v>1.1100000000000008</v>
      </c>
      <c r="V117">
        <f t="shared" si="35"/>
        <v>4.9845647521022753</v>
      </c>
      <c r="W117">
        <f t="shared" si="23"/>
        <v>1.5435247897724658E-2</v>
      </c>
      <c r="X117">
        <f t="shared" si="31"/>
        <v>0.84487383427446239</v>
      </c>
      <c r="Y117">
        <f t="shared" si="32"/>
        <v>-4.0646793299181638E-2</v>
      </c>
      <c r="Z117">
        <f t="shared" si="24"/>
        <v>3.9527007735185596E-2</v>
      </c>
      <c r="AA117">
        <f t="shared" si="25"/>
        <v>0.16489957812310507</v>
      </c>
    </row>
    <row r="118" spans="8:27" x14ac:dyDescent="0.25">
      <c r="H118" s="15">
        <f t="shared" si="26"/>
        <v>1.1200000000000008</v>
      </c>
      <c r="I118" s="9">
        <f t="shared" si="19"/>
        <v>45.872057772219463</v>
      </c>
      <c r="J118">
        <f t="shared" si="33"/>
        <v>45.986810844038878</v>
      </c>
      <c r="K118">
        <f t="shared" si="36"/>
        <v>49.798061088717745</v>
      </c>
      <c r="M118" s="15">
        <f t="shared" si="27"/>
        <v>1.1200000000000008</v>
      </c>
      <c r="N118">
        <f t="shared" si="34"/>
        <v>3.8445128902832713E-2</v>
      </c>
      <c r="O118">
        <f t="shared" si="20"/>
        <v>0.12227110107405534</v>
      </c>
      <c r="P118">
        <f t="shared" si="28"/>
        <v>-4.8493789083515516E-2</v>
      </c>
      <c r="Q118">
        <f t="shared" si="29"/>
        <v>-0.31014693138641525</v>
      </c>
      <c r="R118">
        <f t="shared" si="21"/>
        <v>-0.10458588213788182</v>
      </c>
      <c r="S118">
        <f t="shared" si="22"/>
        <v>1.0282125833310507E-3</v>
      </c>
      <c r="U118" s="15">
        <f t="shared" si="30"/>
        <v>1.1200000000000008</v>
      </c>
      <c r="V118">
        <f t="shared" si="35"/>
        <v>4.9849600221796271</v>
      </c>
      <c r="W118">
        <f t="shared" si="23"/>
        <v>1.5039977820372918E-2</v>
      </c>
      <c r="X118">
        <f t="shared" si="31"/>
        <v>0.84502621040305292</v>
      </c>
      <c r="Y118">
        <f t="shared" si="32"/>
        <v>-3.9527007735173925E-2</v>
      </c>
      <c r="Z118">
        <f t="shared" si="24"/>
        <v>3.8445128902832713E-2</v>
      </c>
      <c r="AA118">
        <f t="shared" si="25"/>
        <v>0.16071622997688806</v>
      </c>
    </row>
    <row r="119" spans="8:27" x14ac:dyDescent="0.25">
      <c r="H119" s="15">
        <f t="shared" si="26"/>
        <v>1.1300000000000008</v>
      </c>
      <c r="I119" s="9">
        <f t="shared" si="19"/>
        <v>45.962971113009608</v>
      </c>
      <c r="J119">
        <f t="shared" si="33"/>
        <v>46.076184708886906</v>
      </c>
      <c r="K119">
        <f t="shared" si="36"/>
        <v>49.80255827543462</v>
      </c>
      <c r="M119" s="15">
        <f t="shared" si="27"/>
        <v>1.1300000000000008</v>
      </c>
      <c r="N119">
        <f t="shared" si="34"/>
        <v>3.7399270081453898E-2</v>
      </c>
      <c r="O119">
        <f t="shared" si="20"/>
        <v>0.11924448384323842</v>
      </c>
      <c r="P119">
        <f t="shared" si="28"/>
        <v>-4.7286211158929045E-2</v>
      </c>
      <c r="Q119">
        <f t="shared" si="29"/>
        <v>-0.30266172308169165</v>
      </c>
      <c r="R119">
        <f t="shared" si="21"/>
        <v>-0.10115896246425611</v>
      </c>
      <c r="S119">
        <f t="shared" si="22"/>
        <v>9.687053389853123E-4</v>
      </c>
      <c r="U119" s="15">
        <f t="shared" si="30"/>
        <v>1.1300000000000008</v>
      </c>
      <c r="V119">
        <f t="shared" si="35"/>
        <v>4.9853444734686558</v>
      </c>
      <c r="W119">
        <f t="shared" si="23"/>
        <v>1.4655526531344165E-2</v>
      </c>
      <c r="X119">
        <f t="shared" si="31"/>
        <v>0.84517468792481154</v>
      </c>
      <c r="Y119">
        <f t="shared" si="32"/>
        <v>-3.8445128902875325E-2</v>
      </c>
      <c r="Z119">
        <f t="shared" si="24"/>
        <v>3.7399270081453898E-2</v>
      </c>
      <c r="AA119">
        <f t="shared" si="25"/>
        <v>0.15664375392469232</v>
      </c>
    </row>
    <row r="120" spans="8:27" x14ac:dyDescent="0.25">
      <c r="H120" s="15">
        <f t="shared" si="26"/>
        <v>1.1400000000000008</v>
      </c>
      <c r="I120" s="9">
        <f t="shared" si="19"/>
        <v>46.051882188487511</v>
      </c>
      <c r="J120">
        <f t="shared" si="33"/>
        <v>46.163568214594747</v>
      </c>
      <c r="K120">
        <f t="shared" si="36"/>
        <v>49.806955309643797</v>
      </c>
      <c r="M120" s="15">
        <f t="shared" si="27"/>
        <v>1.1400000000000008</v>
      </c>
      <c r="N120">
        <f t="shared" si="34"/>
        <v>3.6387680456811337E-2</v>
      </c>
      <c r="O120">
        <f t="shared" si="20"/>
        <v>0.11629109046881231</v>
      </c>
      <c r="P120">
        <f t="shared" si="28"/>
        <v>-4.6108533287368789E-2</v>
      </c>
      <c r="Q120">
        <f t="shared" si="29"/>
        <v>-0.29533933744261137</v>
      </c>
      <c r="R120">
        <f t="shared" si="21"/>
        <v>-9.7894711324133812E-2</v>
      </c>
      <c r="S120">
        <f t="shared" si="22"/>
        <v>9.138788736454545E-4</v>
      </c>
      <c r="U120" s="15">
        <f t="shared" si="30"/>
        <v>1.1400000000000008</v>
      </c>
      <c r="V120">
        <f t="shared" si="35"/>
        <v>4.9857184661694705</v>
      </c>
      <c r="W120">
        <f t="shared" si="23"/>
        <v>1.4281533830529547E-2</v>
      </c>
      <c r="X120">
        <f t="shared" si="31"/>
        <v>0.84531937322662087</v>
      </c>
      <c r="Y120">
        <f t="shared" si="32"/>
        <v>-3.7399270081461822E-2</v>
      </c>
      <c r="Z120">
        <f t="shared" si="24"/>
        <v>3.6387680456811337E-2</v>
      </c>
      <c r="AA120">
        <f t="shared" si="25"/>
        <v>0.15267877092562365</v>
      </c>
    </row>
    <row r="121" spans="8:27" x14ac:dyDescent="0.25">
      <c r="H121" s="15">
        <f t="shared" si="26"/>
        <v>1.1500000000000008</v>
      </c>
      <c r="I121" s="9">
        <f t="shared" si="19"/>
        <v>46.138835096321841</v>
      </c>
      <c r="J121">
        <f t="shared" si="33"/>
        <v>46.249005686531049</v>
      </c>
      <c r="K121">
        <f t="shared" si="36"/>
        <v>49.811254421745176</v>
      </c>
      <c r="M121" s="15">
        <f t="shared" si="27"/>
        <v>1.1500000000000008</v>
      </c>
      <c r="N121">
        <f t="shared" si="34"/>
        <v>3.5408733343569997E-2</v>
      </c>
      <c r="O121">
        <f t="shared" si="20"/>
        <v>0.11340931073958524</v>
      </c>
      <c r="P121">
        <f t="shared" si="28"/>
        <v>-4.49600312813268E-2</v>
      </c>
      <c r="Q121">
        <f t="shared" si="29"/>
        <v>-0.28817797292270686</v>
      </c>
      <c r="R121">
        <f t="shared" si="21"/>
        <v>-9.4781785039576447E-2</v>
      </c>
      <c r="S121">
        <f t="shared" si="22"/>
        <v>8.6331465669059471E-4</v>
      </c>
      <c r="U121" s="15">
        <f t="shared" si="30"/>
        <v>1.1500000000000008</v>
      </c>
      <c r="V121">
        <f t="shared" si="35"/>
        <v>4.9860823429740382</v>
      </c>
      <c r="W121">
        <f t="shared" si="23"/>
        <v>1.3917657025961816E-2</v>
      </c>
      <c r="X121">
        <f t="shared" si="31"/>
        <v>0.84546036918090328</v>
      </c>
      <c r="Y121">
        <f t="shared" si="32"/>
        <v>-3.6387680456773097E-2</v>
      </c>
      <c r="Z121">
        <f t="shared" si="24"/>
        <v>3.5408733343569997E-2</v>
      </c>
      <c r="AA121">
        <f t="shared" si="25"/>
        <v>0.14881804408315524</v>
      </c>
    </row>
    <row r="122" spans="8:27" x14ac:dyDescent="0.25">
      <c r="H122" s="15">
        <f t="shared" si="26"/>
        <v>1.1600000000000008</v>
      </c>
      <c r="I122" s="9">
        <f t="shared" si="19"/>
        <v>46.223872962979151</v>
      </c>
      <c r="J122">
        <f t="shared" si="33"/>
        <v>46.332540462936926</v>
      </c>
      <c r="K122">
        <f t="shared" si="36"/>
        <v>49.815457792467576</v>
      </c>
      <c r="M122" s="15">
        <f t="shared" si="27"/>
        <v>1.1600000000000008</v>
      </c>
      <c r="N122">
        <f t="shared" si="34"/>
        <v>3.4460915493174232E-2</v>
      </c>
      <c r="O122">
        <f t="shared" si="20"/>
        <v>0.11059755414537661</v>
      </c>
      <c r="P122">
        <f t="shared" si="28"/>
        <v>-4.3839996956901987E-2</v>
      </c>
      <c r="Q122">
        <f t="shared" si="29"/>
        <v>-0.28117565942086253</v>
      </c>
      <c r="R122">
        <f t="shared" si="21"/>
        <v>-9.1809810745148934E-2</v>
      </c>
      <c r="S122">
        <f t="shared" si="22"/>
        <v>8.1663308796534051E-4</v>
      </c>
      <c r="U122" s="15">
        <f t="shared" si="30"/>
        <v>1.1600000000000008</v>
      </c>
      <c r="V122">
        <f t="shared" si="35"/>
        <v>4.9864364303074735</v>
      </c>
      <c r="W122">
        <f t="shared" si="23"/>
        <v>1.3563569692526478E-2</v>
      </c>
      <c r="X122">
        <f t="shared" si="31"/>
        <v>0.84559777531449576</v>
      </c>
      <c r="Y122">
        <f t="shared" si="32"/>
        <v>-3.5408733343533783E-2</v>
      </c>
      <c r="Z122">
        <f t="shared" si="24"/>
        <v>3.4460915493174232E-2</v>
      </c>
      <c r="AA122">
        <f t="shared" si="25"/>
        <v>0.14505846963855085</v>
      </c>
    </row>
    <row r="123" spans="8:27" x14ac:dyDescent="0.25">
      <c r="H123" s="15">
        <f t="shared" si="26"/>
        <v>1.1700000000000008</v>
      </c>
      <c r="I123" s="9">
        <f t="shared" si="19"/>
        <v>46.30703796511343</v>
      </c>
      <c r="J123">
        <f t="shared" si="33"/>
        <v>46.41421491690933</v>
      </c>
      <c r="K123">
        <f t="shared" si="36"/>
        <v>49.819567553974892</v>
      </c>
      <c r="M123" s="15">
        <f t="shared" si="27"/>
        <v>1.1700000000000008</v>
      </c>
      <c r="N123">
        <f t="shared" si="34"/>
        <v>3.3542817385722741E-2</v>
      </c>
      <c r="O123">
        <f t="shared" si="20"/>
        <v>0.10785425131881399</v>
      </c>
      <c r="P123">
        <f t="shared" si="28"/>
        <v>-4.2747737929581031E-2</v>
      </c>
      <c r="Q123">
        <f t="shared" si="29"/>
        <v>-0.27433028265626269</v>
      </c>
      <c r="R123">
        <f t="shared" si="21"/>
        <v>-8.8969297230948305E-2</v>
      </c>
      <c r="S123">
        <f t="shared" si="22"/>
        <v>7.7348983683980799E-4</v>
      </c>
      <c r="U123" s="15">
        <f t="shared" si="30"/>
        <v>1.1700000000000008</v>
      </c>
      <c r="V123">
        <f t="shared" si="35"/>
        <v>4.9867810394624055</v>
      </c>
      <c r="W123">
        <f t="shared" si="23"/>
        <v>1.3218960537594526E-2</v>
      </c>
      <c r="X123">
        <f t="shared" si="31"/>
        <v>0.84573168796564635</v>
      </c>
      <c r="Y123">
        <f t="shared" si="32"/>
        <v>-3.4460915493195188E-2</v>
      </c>
      <c r="Z123">
        <f t="shared" si="24"/>
        <v>3.3542817385722741E-2</v>
      </c>
      <c r="AA123">
        <f t="shared" si="25"/>
        <v>0.14139706870453672</v>
      </c>
    </row>
    <row r="124" spans="8:27" x14ac:dyDescent="0.25">
      <c r="H124" s="15">
        <f t="shared" si="26"/>
        <v>1.1800000000000008</v>
      </c>
      <c r="I124" s="9">
        <f t="shared" si="19"/>
        <v>46.388371350484775</v>
      </c>
      <c r="J124">
        <f t="shared" si="33"/>
        <v>46.494070477894837</v>
      </c>
      <c r="K124">
        <f t="shared" si="36"/>
        <v>49.823585790947675</v>
      </c>
      <c r="M124" s="15">
        <f t="shared" si="27"/>
        <v>1.1800000000000008</v>
      </c>
      <c r="N124">
        <f t="shared" si="34"/>
        <v>3.2653124413413261E-2</v>
      </c>
      <c r="O124">
        <f t="shared" si="20"/>
        <v>0.10517785525858639</v>
      </c>
      <c r="P124">
        <f t="shared" si="28"/>
        <v>-4.168257739669403E-2</v>
      </c>
      <c r="Q124">
        <f t="shared" si="29"/>
        <v>-0.26763960602275982</v>
      </c>
      <c r="R124">
        <f t="shared" si="21"/>
        <v>-8.62515541404245E-2</v>
      </c>
      <c r="S124">
        <f t="shared" si="22"/>
        <v>7.3357252652497817E-4</v>
      </c>
      <c r="U124" s="15">
        <f t="shared" si="30"/>
        <v>1.1800000000000008</v>
      </c>
      <c r="V124">
        <f t="shared" si="35"/>
        <v>4.9871164676362625</v>
      </c>
      <c r="W124">
        <f t="shared" si="23"/>
        <v>1.2883532363737515E-2</v>
      </c>
      <c r="X124">
        <f t="shared" si="31"/>
        <v>0.84586220043015303</v>
      </c>
      <c r="Y124">
        <f t="shared" si="32"/>
        <v>-3.3542817385701085E-2</v>
      </c>
      <c r="Z124">
        <f t="shared" si="24"/>
        <v>3.2653124413413261E-2</v>
      </c>
      <c r="AA124">
        <f t="shared" si="25"/>
        <v>0.13783097967199964</v>
      </c>
    </row>
    <row r="125" spans="8:27" x14ac:dyDescent="0.25">
      <c r="H125" s="15">
        <f t="shared" si="26"/>
        <v>1.1900000000000008</v>
      </c>
      <c r="I125" s="9">
        <f t="shared" si="19"/>
        <v>46.467913458417165</v>
      </c>
      <c r="J125">
        <f t="shared" si="33"/>
        <v>46.572147652704778</v>
      </c>
      <c r="K125">
        <f t="shared" si="36"/>
        <v>49.827514541640546</v>
      </c>
      <c r="M125" s="15">
        <f t="shared" si="27"/>
        <v>1.1900000000000008</v>
      </c>
      <c r="N125">
        <f t="shared" si="34"/>
        <v>3.1790608872009019E-2</v>
      </c>
      <c r="O125">
        <f t="shared" si="20"/>
        <v>0.10256684235651536</v>
      </c>
      <c r="P125">
        <f t="shared" si="28"/>
        <v>-4.0643853908618521E-2</v>
      </c>
      <c r="Q125">
        <f t="shared" si="29"/>
        <v>-0.26110129020710249</v>
      </c>
      <c r="R125">
        <f t="shared" si="21"/>
        <v>-8.3648618755626764E-2</v>
      </c>
      <c r="S125">
        <f t="shared" si="22"/>
        <v>6.965977321329031E-4</v>
      </c>
      <c r="U125" s="15">
        <f t="shared" si="30"/>
        <v>1.1900000000000008</v>
      </c>
      <c r="V125">
        <f t="shared" si="35"/>
        <v>4.9874429988803968</v>
      </c>
      <c r="W125">
        <f t="shared" si="23"/>
        <v>1.2557001119603228E-2</v>
      </c>
      <c r="X125">
        <f t="shared" si="31"/>
        <v>0.84598940309756976</v>
      </c>
      <c r="Y125">
        <f t="shared" si="32"/>
        <v>-3.2653124413428714E-2</v>
      </c>
      <c r="Z125">
        <f t="shared" si="24"/>
        <v>3.1790608872009019E-2</v>
      </c>
      <c r="AA125">
        <f t="shared" si="25"/>
        <v>0.13435745122852438</v>
      </c>
    </row>
    <row r="126" spans="8:27" x14ac:dyDescent="0.25">
      <c r="H126" s="15">
        <f t="shared" si="26"/>
        <v>1.2000000000000008</v>
      </c>
      <c r="I126" s="9">
        <f t="shared" si="19"/>
        <v>46.545703739805838</v>
      </c>
      <c r="J126">
        <f t="shared" si="33"/>
        <v>46.648486046062366</v>
      </c>
      <c r="K126">
        <f t="shared" si="36"/>
        <v>49.831355798916142</v>
      </c>
      <c r="M126" s="15">
        <f t="shared" si="27"/>
        <v>1.2000000000000008</v>
      </c>
      <c r="N126">
        <f t="shared" si="34"/>
        <v>3.0954122684452752E-2</v>
      </c>
      <c r="O126">
        <f t="shared" si="20"/>
        <v>0.10001971325012127</v>
      </c>
      <c r="P126">
        <f t="shared" si="28"/>
        <v>-3.9630921130585341E-2</v>
      </c>
      <c r="Q126">
        <f t="shared" si="29"/>
        <v>-0.25471291063940971</v>
      </c>
      <c r="R126">
        <f t="shared" si="21"/>
        <v>-8.1153189584676405E-2</v>
      </c>
      <c r="S126">
        <f t="shared" si="22"/>
        <v>6.6230825907825919E-4</v>
      </c>
      <c r="U126" s="15">
        <f t="shared" si="30"/>
        <v>1.2000000000000008</v>
      </c>
      <c r="V126">
        <f t="shared" si="35"/>
        <v>4.9877609049691172</v>
      </c>
      <c r="W126">
        <f t="shared" si="23"/>
        <v>1.2239095030882829E-2</v>
      </c>
      <c r="X126">
        <f t="shared" si="31"/>
        <v>0.84611338357832222</v>
      </c>
      <c r="Y126">
        <f t="shared" si="32"/>
        <v>-3.1790608872039883E-2</v>
      </c>
      <c r="Z126">
        <f t="shared" si="24"/>
        <v>3.0954122684452752E-2</v>
      </c>
      <c r="AA126">
        <f t="shared" si="25"/>
        <v>0.13097383593457401</v>
      </c>
    </row>
    <row r="127" spans="8:27" x14ac:dyDescent="0.25">
      <c r="H127" s="15">
        <f t="shared" si="26"/>
        <v>1.2100000000000009</v>
      </c>
      <c r="I127" s="9">
        <f t="shared" si="19"/>
        <v>46.621780776683842</v>
      </c>
      <c r="J127">
        <f t="shared" si="33"/>
        <v>46.723124380692212</v>
      </c>
      <c r="K127">
        <f t="shared" si="36"/>
        <v>49.83511151125596</v>
      </c>
      <c r="M127" s="15">
        <f t="shared" si="27"/>
        <v>1.2100000000000009</v>
      </c>
      <c r="N127">
        <f t="shared" si="34"/>
        <v>3.0142590788605986E-2</v>
      </c>
      <c r="O127">
        <f t="shared" si="20"/>
        <v>9.7534993517638557E-2</v>
      </c>
      <c r="P127">
        <f t="shared" si="28"/>
        <v>-3.8643147596746544E-2</v>
      </c>
      <c r="Q127">
        <f t="shared" si="29"/>
        <v>-0.24847197324827097</v>
      </c>
      <c r="R127">
        <f t="shared" si="21"/>
        <v>-7.8758566214731859E-2</v>
      </c>
      <c r="S127">
        <f t="shared" si="22"/>
        <v>6.3047068093829983E-4</v>
      </c>
      <c r="U127" s="15">
        <f t="shared" si="30"/>
        <v>1.2100000000000009</v>
      </c>
      <c r="V127">
        <f t="shared" si="35"/>
        <v>4.9880704461959615</v>
      </c>
      <c r="W127">
        <f t="shared" si="23"/>
        <v>1.1929553804038484E-2</v>
      </c>
      <c r="X127">
        <f t="shared" si="31"/>
        <v>0.84623422682249683</v>
      </c>
      <c r="Y127">
        <f t="shared" si="32"/>
        <v>-3.0954122684434537E-2</v>
      </c>
      <c r="Z127">
        <f t="shared" si="24"/>
        <v>3.0142590788605986E-2</v>
      </c>
      <c r="AA127">
        <f t="shared" si="25"/>
        <v>0.12767758430624454</v>
      </c>
    </row>
    <row r="128" spans="8:27" x14ac:dyDescent="0.25">
      <c r="H128" s="15">
        <f t="shared" si="26"/>
        <v>1.2200000000000009</v>
      </c>
      <c r="I128" s="9">
        <f t="shared" si="19"/>
        <v>46.696182301357865</v>
      </c>
      <c r="J128">
        <f t="shared" si="33"/>
        <v>46.79610051696249</v>
      </c>
      <c r="K128">
        <f t="shared" si="36"/>
        <v>49.838783583748757</v>
      </c>
      <c r="M128" s="15">
        <f t="shared" si="27"/>
        <v>1.2200000000000009</v>
      </c>
      <c r="N128">
        <f t="shared" si="34"/>
        <v>2.9355005126458666E-2</v>
      </c>
      <c r="O128">
        <f t="shared" si="20"/>
        <v>9.5111234233060171E-2</v>
      </c>
      <c r="P128">
        <f t="shared" si="28"/>
        <v>-3.7679916457993047E-2</v>
      </c>
      <c r="Q128">
        <f t="shared" si="29"/>
        <v>-0.24237592845783862</v>
      </c>
      <c r="R128">
        <f t="shared" si="21"/>
        <v>-7.6458594767951318E-2</v>
      </c>
      <c r="S128">
        <f t="shared" si="22"/>
        <v>6.0087310842327213E-4</v>
      </c>
      <c r="U128" s="15">
        <f t="shared" si="30"/>
        <v>1.2200000000000009</v>
      </c>
      <c r="V128">
        <f t="shared" si="35"/>
        <v>4.9883718721038477</v>
      </c>
      <c r="W128">
        <f t="shared" si="23"/>
        <v>1.1628127896152307E-2</v>
      </c>
      <c r="X128">
        <f t="shared" si="31"/>
        <v>0.84635201523099779</v>
      </c>
      <c r="Y128">
        <f t="shared" si="32"/>
        <v>-3.0142590788617696E-2</v>
      </c>
      <c r="Z128">
        <f t="shared" si="24"/>
        <v>2.9355005126458666E-2</v>
      </c>
      <c r="AA128">
        <f t="shared" si="25"/>
        <v>0.12446623935951884</v>
      </c>
    </row>
    <row r="129" spans="8:27" x14ac:dyDescent="0.25">
      <c r="H129" s="15">
        <f t="shared" si="26"/>
        <v>1.2300000000000009</v>
      </c>
      <c r="I129" s="9">
        <f t="shared" si="19"/>
        <v>46.768945215122443</v>
      </c>
      <c r="J129">
        <f t="shared" si="33"/>
        <v>46.86745147208962</v>
      </c>
      <c r="K129">
        <f t="shared" si="36"/>
        <v>49.842373879056893</v>
      </c>
      <c r="M129" s="15">
        <f t="shared" si="27"/>
        <v>1.2300000000000009</v>
      </c>
      <c r="N129">
        <f t="shared" si="34"/>
        <v>2.8590419178779154E-2</v>
      </c>
      <c r="O129">
        <f t="shared" si="20"/>
        <v>9.2747012396668702E-2</v>
      </c>
      <c r="P129">
        <f t="shared" si="28"/>
        <v>-3.6740625224844406E-2</v>
      </c>
      <c r="Q129">
        <f t="shared" si="29"/>
        <v>-0.23642218363914697</v>
      </c>
      <c r="R129">
        <f t="shared" si="21"/>
        <v>-7.4247618426475134E-2</v>
      </c>
      <c r="S129">
        <f t="shared" si="22"/>
        <v>5.7332316727608246E-4</v>
      </c>
      <c r="U129" s="15">
        <f t="shared" si="30"/>
        <v>1.2300000000000009</v>
      </c>
      <c r="V129">
        <f t="shared" si="35"/>
        <v>4.9886654221551119</v>
      </c>
      <c r="W129">
        <f t="shared" si="23"/>
        <v>1.1334577844888116E-2</v>
      </c>
      <c r="X129">
        <f t="shared" si="31"/>
        <v>0.84646682875970303</v>
      </c>
      <c r="Y129">
        <f t="shared" si="32"/>
        <v>-2.9355005126419087E-2</v>
      </c>
      <c r="Z129">
        <f t="shared" si="24"/>
        <v>2.8590419178779154E-2</v>
      </c>
      <c r="AA129">
        <f t="shared" si="25"/>
        <v>0.12133743157544785</v>
      </c>
    </row>
    <row r="130" spans="8:27" x14ac:dyDescent="0.25">
      <c r="H130" s="15">
        <f t="shared" si="26"/>
        <v>1.2400000000000009</v>
      </c>
      <c r="I130" s="9">
        <f t="shared" si="19"/>
        <v>46.840105606562112</v>
      </c>
      <c r="J130">
        <f t="shared" si="33"/>
        <v>46.9372134389153</v>
      </c>
      <c r="K130">
        <f t="shared" si="36"/>
        <v>49.845884218361178</v>
      </c>
      <c r="M130" s="15">
        <f t="shared" si="27"/>
        <v>1.2400000000000009</v>
      </c>
      <c r="N130">
        <f t="shared" si="34"/>
        <v>2.7847942994514402E-2</v>
      </c>
      <c r="O130">
        <f t="shared" si="20"/>
        <v>9.0440931253288365E-2</v>
      </c>
      <c r="P130">
        <f t="shared" si="28"/>
        <v>-3.5824685506594622E-2</v>
      </c>
      <c r="Q130">
        <f t="shared" si="29"/>
        <v>-0.23060811433803369</v>
      </c>
      <c r="R130">
        <f t="shared" si="21"/>
        <v>-7.2120432630835257E-2</v>
      </c>
      <c r="S130">
        <f t="shared" si="22"/>
        <v>5.4764616977671932E-4</v>
      </c>
      <c r="U130" s="15">
        <f t="shared" si="30"/>
        <v>1.2400000000000009</v>
      </c>
      <c r="V130">
        <f t="shared" si="35"/>
        <v>4.9889513263468999</v>
      </c>
      <c r="W130">
        <f t="shared" si="23"/>
        <v>1.1048673653100138E-2</v>
      </c>
      <c r="X130">
        <f t="shared" si="31"/>
        <v>0.84657874501719299</v>
      </c>
      <c r="Y130">
        <f t="shared" si="32"/>
        <v>-2.8590419178797788E-2</v>
      </c>
      <c r="Z130">
        <f t="shared" si="24"/>
        <v>2.7847942994514402E-2</v>
      </c>
      <c r="AA130">
        <f t="shared" si="25"/>
        <v>0.11828887424780277</v>
      </c>
    </row>
    <row r="131" spans="8:27" x14ac:dyDescent="0.25">
      <c r="H131" s="15">
        <f t="shared" si="26"/>
        <v>1.2500000000000009</v>
      </c>
      <c r="I131" s="9">
        <f t="shared" si="19"/>
        <v>46.909698769450429</v>
      </c>
      <c r="J131">
        <f t="shared" si="33"/>
        <v>47.005421804265374</v>
      </c>
      <c r="K131">
        <f t="shared" si="36"/>
        <v>49.849316382284641</v>
      </c>
      <c r="M131" s="15">
        <f t="shared" si="27"/>
        <v>1.2500000000000009</v>
      </c>
      <c r="N131">
        <f t="shared" si="34"/>
        <v>2.712673866820605E-2</v>
      </c>
      <c r="O131">
        <f t="shared" si="20"/>
        <v>8.819162051238702E-2</v>
      </c>
      <c r="P131">
        <f t="shared" si="28"/>
        <v>-3.4931522747766244E-2</v>
      </c>
      <c r="Q131">
        <f t="shared" si="29"/>
        <v>-0.22493107409013446</v>
      </c>
      <c r="R131">
        <f t="shared" si="21"/>
        <v>-7.0072244388489899E-2</v>
      </c>
      <c r="S131">
        <f t="shared" si="22"/>
        <v>5.2368345495851232E-4</v>
      </c>
      <c r="U131" s="15">
        <f t="shared" si="30"/>
        <v>1.2500000000000009</v>
      </c>
      <c r="V131">
        <f t="shared" si="35"/>
        <v>4.9892298057768452</v>
      </c>
      <c r="W131">
        <f t="shared" si="23"/>
        <v>1.0770194223154839E-2</v>
      </c>
      <c r="X131">
        <f t="shared" si="31"/>
        <v>0.84668783935657421</v>
      </c>
      <c r="Y131">
        <f t="shared" si="32"/>
        <v>-2.7847942994529973E-2</v>
      </c>
      <c r="Z131">
        <f t="shared" si="24"/>
        <v>2.712673866820605E-2</v>
      </c>
      <c r="AA131">
        <f t="shared" si="25"/>
        <v>0.11531835918059308</v>
      </c>
    </row>
    <row r="132" spans="8:27" x14ac:dyDescent="0.25">
      <c r="H132" s="15">
        <f t="shared" si="26"/>
        <v>1.2600000000000009</v>
      </c>
      <c r="I132" s="9">
        <f t="shared" si="19"/>
        <v>46.977759220254804</v>
      </c>
      <c r="J132">
        <f t="shared" si="33"/>
        <v>47.072111166899802</v>
      </c>
      <c r="K132">
        <f t="shared" si="36"/>
        <v>49.852672111795798</v>
      </c>
      <c r="M132" s="15">
        <f t="shared" si="27"/>
        <v>1.2600000000000009</v>
      </c>
      <c r="N132">
        <f t="shared" si="34"/>
        <v>2.6426016224321152E-2</v>
      </c>
      <c r="O132">
        <f t="shared" si="20"/>
        <v>8.5997736479236711E-2</v>
      </c>
      <c r="P132">
        <f t="shared" si="28"/>
        <v>-3.4060575962808128E-2</v>
      </c>
      <c r="Q132">
        <f t="shared" si="29"/>
        <v>-0.2193884033150309</v>
      </c>
      <c r="R132">
        <f t="shared" si="21"/>
        <v>-6.8098635438263472E-2</v>
      </c>
      <c r="S132">
        <f t="shared" si="22"/>
        <v>5.012908887175177E-4</v>
      </c>
      <c r="U132" s="15">
        <f t="shared" si="30"/>
        <v>1.2600000000000009</v>
      </c>
      <c r="V132">
        <f t="shared" si="35"/>
        <v>4.9895010731635274</v>
      </c>
      <c r="W132">
        <f t="shared" si="23"/>
        <v>1.0498926836472577E-2</v>
      </c>
      <c r="X132">
        <f t="shared" si="31"/>
        <v>0.84679418496187231</v>
      </c>
      <c r="Y132">
        <f t="shared" si="32"/>
        <v>-2.7126738668226125E-2</v>
      </c>
      <c r="Z132">
        <f t="shared" si="24"/>
        <v>2.6426016224321152E-2</v>
      </c>
      <c r="AA132">
        <f t="shared" si="25"/>
        <v>0.11242375270355787</v>
      </c>
    </row>
    <row r="133" spans="8:27" x14ac:dyDescent="0.25">
      <c r="H133" s="15">
        <f t="shared" si="26"/>
        <v>1.2700000000000009</v>
      </c>
      <c r="I133" s="9">
        <f t="shared" si="19"/>
        <v>47.0443207152558</v>
      </c>
      <c r="J133">
        <f t="shared" si="33"/>
        <v>47.137315355062938</v>
      </c>
      <c r="K133">
        <f t="shared" si="36"/>
        <v>49.855953109091715</v>
      </c>
      <c r="M133" s="15">
        <f t="shared" si="27"/>
        <v>1.2700000000000009</v>
      </c>
      <c r="N133">
        <f t="shared" si="34"/>
        <v>2.5745029869938516E-2</v>
      </c>
      <c r="O133">
        <f t="shared" si="20"/>
        <v>8.3857962108644962E-2</v>
      </c>
      <c r="P133">
        <f t="shared" si="28"/>
        <v>-3.3211297469868721E-2</v>
      </c>
      <c r="Q133">
        <f t="shared" si="29"/>
        <v>-0.21397743705917488</v>
      </c>
      <c r="R133">
        <f t="shared" si="21"/>
        <v>-6.6195528794284766E-2</v>
      </c>
      <c r="S133">
        <f t="shared" si="22"/>
        <v>4.8033750264543651E-4</v>
      </c>
      <c r="U133" s="15">
        <f t="shared" si="30"/>
        <v>1.2700000000000009</v>
      </c>
      <c r="V133">
        <f t="shared" si="35"/>
        <v>4.9897653333257708</v>
      </c>
      <c r="W133">
        <f t="shared" si="23"/>
        <v>1.0234666674229231E-2</v>
      </c>
      <c r="X133">
        <f t="shared" si="31"/>
        <v>0.84689785292942577</v>
      </c>
      <c r="Y133">
        <f t="shared" si="32"/>
        <v>-2.6426016224334603E-2</v>
      </c>
      <c r="Z133">
        <f t="shared" si="24"/>
        <v>2.5745029869938516E-2</v>
      </c>
      <c r="AA133">
        <f t="shared" si="25"/>
        <v>0.10960299197858347</v>
      </c>
    </row>
    <row r="134" spans="8:27" x14ac:dyDescent="0.25">
      <c r="H134" s="15">
        <f t="shared" si="26"/>
        <v>1.2800000000000009</v>
      </c>
      <c r="I134" s="9">
        <f t="shared" si="19"/>
        <v>47.10941626728944</v>
      </c>
      <c r="J134">
        <f t="shared" si="33"/>
        <v>47.201067443642941</v>
      </c>
      <c r="K134">
        <f t="shared" si="36"/>
        <v>49.85916103846148</v>
      </c>
      <c r="M134" s="15">
        <f t="shared" si="27"/>
        <v>1.2800000000000009</v>
      </c>
      <c r="N134">
        <f t="shared" si="34"/>
        <v>2.5083074581995667E-2</v>
      </c>
      <c r="O134">
        <f t="shared" si="20"/>
        <v>8.1771006989406633E-2</v>
      </c>
      <c r="P134">
        <f t="shared" si="28"/>
        <v>-3.2383152624378464E-2</v>
      </c>
      <c r="Q134">
        <f t="shared" si="29"/>
        <v>-0.2086955119238329</v>
      </c>
      <c r="R134">
        <f t="shared" si="21"/>
        <v>-6.4359158423172802E-2</v>
      </c>
      <c r="S134">
        <f t="shared" si="22"/>
        <v>4.6070426231738237E-4</v>
      </c>
      <c r="U134" s="15">
        <f t="shared" si="30"/>
        <v>1.2800000000000009</v>
      </c>
      <c r="V134">
        <f t="shared" si="35"/>
        <v>4.9900227836244699</v>
      </c>
      <c r="W134">
        <f t="shared" si="23"/>
        <v>9.9772163755300625E-3</v>
      </c>
      <c r="X134">
        <f t="shared" si="31"/>
        <v>0.84699891234467461</v>
      </c>
      <c r="Y134">
        <f t="shared" si="32"/>
        <v>-2.5745029869916891E-2</v>
      </c>
      <c r="Z134">
        <f t="shared" si="24"/>
        <v>2.5083074581995667E-2</v>
      </c>
      <c r="AA134">
        <f t="shared" si="25"/>
        <v>0.1068540815714023</v>
      </c>
    </row>
    <row r="135" spans="8:27" x14ac:dyDescent="0.25">
      <c r="H135" s="15">
        <f t="shared" si="26"/>
        <v>1.2900000000000009</v>
      </c>
      <c r="I135" s="9">
        <f t="shared" ref="I135:I198" si="37">DEGREES(-2*$E$5/$C$6*$C$9/$C$8*$C$18*(1-EXP(-$C$20*H135)))</f>
        <v>47.173078162120667</v>
      </c>
      <c r="J135">
        <f t="shared" si="33"/>
        <v>47.263399770949029</v>
      </c>
      <c r="K135">
        <f t="shared" si="36"/>
        <v>49.862297527130394</v>
      </c>
      <c r="M135" s="15">
        <f t="shared" si="27"/>
        <v>1.2900000000000009</v>
      </c>
      <c r="N135">
        <f t="shared" si="34"/>
        <v>2.4439482997763939E-2</v>
      </c>
      <c r="O135">
        <f t="shared" ref="O135:O198" si="38">AA135-N135</f>
        <v>7.9735607267757025E-2</v>
      </c>
      <c r="P135">
        <f t="shared" si="28"/>
        <v>-3.1575619553092647E-2</v>
      </c>
      <c r="Q135">
        <f t="shared" si="29"/>
        <v>-0.20353997216496084</v>
      </c>
      <c r="R135">
        <f t="shared" ref="R135:R198" si="39">DEGREES($E$6*$C$5*$C$6^2*$E$5/(4*$C$7)*$C$8*RADIANS(N135)+$E$6*$C$5*$C$6*$E$5^2/(2*$C$7)*$C$9*RADIANS(S135))</f>
        <v>-6.2586041736831896E-2</v>
      </c>
      <c r="S135">
        <f t="shared" ref="S135:S198" si="40">MAX(MIN($C$34*O135+$C$35*P135+$C$36*Q135,21.5),-21.5)</f>
        <v>4.4228295159880193E-4</v>
      </c>
      <c r="U135" s="15">
        <f t="shared" si="30"/>
        <v>1.2900000000000009</v>
      </c>
      <c r="V135">
        <f t="shared" si="35"/>
        <v>4.9902736143702899</v>
      </c>
      <c r="W135">
        <f t="shared" ref="W135:W198" si="41">$E$9-V135</f>
        <v>9.7263856297100659E-3</v>
      </c>
      <c r="X135">
        <f t="shared" si="31"/>
        <v>0.84709743035470086</v>
      </c>
      <c r="Y135">
        <f t="shared" si="32"/>
        <v>-2.5083074581999654E-2</v>
      </c>
      <c r="Z135">
        <f t="shared" ref="Z135:Z198" si="42">N135</f>
        <v>2.4439482997763939E-2</v>
      </c>
      <c r="AA135">
        <f t="shared" ref="AA135:AA198" si="43">$C$39*W135+$C$40*X135+$C$41*Y135</f>
        <v>0.10417509026552096</v>
      </c>
    </row>
    <row r="136" spans="8:27" x14ac:dyDescent="0.25">
      <c r="H136" s="15">
        <f t="shared" ref="H136:H172" si="44">H135+$E$8</f>
        <v>1.3000000000000009</v>
      </c>
      <c r="I136" s="9">
        <f t="shared" si="37"/>
        <v>47.235337974456371</v>
      </c>
      <c r="J136">
        <f t="shared" si="33"/>
        <v>47.324343955115125</v>
      </c>
      <c r="K136">
        <f t="shared" si="36"/>
        <v>49.865364166085399</v>
      </c>
      <c r="M136" s="15">
        <f t="shared" ref="M136:M172" si="45">M135+$E$8</f>
        <v>1.3000000000000009</v>
      </c>
      <c r="N136">
        <f t="shared" si="34"/>
        <v>2.381362258039562E-2</v>
      </c>
      <c r="O136">
        <f t="shared" si="38"/>
        <v>7.775052551749187E-2</v>
      </c>
      <c r="P136">
        <f t="shared" ref="P136:P199" si="46">IF(ABS(S135)&gt;21, P135, P135+(O136+O135)*$E$8/2)</f>
        <v>-3.0788188889166401E-2</v>
      </c>
      <c r="Q136">
        <f t="shared" ref="Q136:Q199" si="47">(O136-O135)/$E$8</f>
        <v>-0.19850817502651552</v>
      </c>
      <c r="R136">
        <f t="shared" si="39"/>
        <v>-6.0872954619393412E-2</v>
      </c>
      <c r="S136">
        <f t="shared" si="40"/>
        <v>4.2497516111342226E-4</v>
      </c>
      <c r="U136" s="15">
        <f t="shared" ref="U136:U172" si="48">U135+$E$8</f>
        <v>1.3000000000000009</v>
      </c>
      <c r="V136">
        <f t="shared" si="35"/>
        <v>4.9905180092002679</v>
      </c>
      <c r="W136">
        <f t="shared" si="41"/>
        <v>9.4819907997321096E-3</v>
      </c>
      <c r="X136">
        <f t="shared" ref="X136:X199" si="49">X135+(W136+W135)*$E$8/2</f>
        <v>0.84719347223684804</v>
      </c>
      <c r="Y136">
        <f t="shared" ref="Y136:Y199" si="50">(W136-W135)/$E$8</f>
        <v>-2.4439482997795636E-2</v>
      </c>
      <c r="Z136">
        <f t="shared" si="42"/>
        <v>2.381362258039562E-2</v>
      </c>
      <c r="AA136">
        <f t="shared" si="43"/>
        <v>0.1015641480978875</v>
      </c>
    </row>
    <row r="137" spans="8:27" x14ac:dyDescent="0.25">
      <c r="H137" s="15">
        <f t="shared" si="44"/>
        <v>1.3100000000000009</v>
      </c>
      <c r="I137" s="9">
        <f t="shared" si="37"/>
        <v>47.296226583605574</v>
      </c>
      <c r="J137">
        <f t="shared" ref="J137:J200" si="51">J136+$E$8*DEGREES($E$6*$C$5*$C$6^2*$E$5/(4*$C$7)*$C$8*RADIANS(J136) +$E$6*$C$5*$C$6*$E$5^2/(2*$C$7)*$C$9*$C$18)</f>
        <v>47.383930910138204</v>
      </c>
      <c r="K137">
        <f t="shared" si="36"/>
        <v>49.868362510882108</v>
      </c>
      <c r="M137" s="15">
        <f t="shared" si="45"/>
        <v>1.3100000000000009</v>
      </c>
      <c r="N137">
        <f t="shared" ref="N137:N200" si="52">N136+$E$8*R136</f>
        <v>2.3204893034201687E-2</v>
      </c>
      <c r="O137">
        <f t="shared" si="38"/>
        <v>7.5814550562712371E-2</v>
      </c>
      <c r="P137">
        <f t="shared" si="46"/>
        <v>-3.0020363508765378E-2</v>
      </c>
      <c r="Q137">
        <f t="shared" si="47"/>
        <v>-0.19359749547794985</v>
      </c>
      <c r="R137">
        <f t="shared" si="39"/>
        <v>-5.9216908789993472E-2</v>
      </c>
      <c r="S137">
        <f t="shared" si="40"/>
        <v>4.0869137318165494E-4</v>
      </c>
      <c r="U137" s="15">
        <f t="shared" si="48"/>
        <v>1.3100000000000009</v>
      </c>
      <c r="V137">
        <f t="shared" ref="V137:V200" si="53">V136+$E$8*Z136</f>
        <v>4.9907561454260723</v>
      </c>
      <c r="W137">
        <f t="shared" si="41"/>
        <v>9.2438545739277345E-3</v>
      </c>
      <c r="X137">
        <f t="shared" si="49"/>
        <v>0.84728710146371633</v>
      </c>
      <c r="Y137">
        <f t="shared" si="50"/>
        <v>-2.381362258043751E-2</v>
      </c>
      <c r="Z137">
        <f t="shared" si="42"/>
        <v>2.3204893034201687E-2</v>
      </c>
      <c r="AA137">
        <f t="shared" si="43"/>
        <v>9.9019443596914059E-2</v>
      </c>
    </row>
    <row r="138" spans="8:27" x14ac:dyDescent="0.25">
      <c r="H138" s="15">
        <f t="shared" si="44"/>
        <v>1.320000000000001</v>
      </c>
      <c r="I138" s="9">
        <f t="shared" si="37"/>
        <v>47.35577418879484</v>
      </c>
      <c r="J138">
        <f t="shared" si="51"/>
        <v>47.442190861559411</v>
      </c>
      <c r="K138">
        <f t="shared" si="36"/>
        <v>49.871294082433842</v>
      </c>
      <c r="M138" s="15">
        <f t="shared" si="45"/>
        <v>1.320000000000001</v>
      </c>
      <c r="N138">
        <f t="shared" si="52"/>
        <v>2.2612723946301753E-2</v>
      </c>
      <c r="O138">
        <f t="shared" si="38"/>
        <v>7.3926497259626411E-2</v>
      </c>
      <c r="P138">
        <f t="shared" si="46"/>
        <v>-2.9271658269653684E-2</v>
      </c>
      <c r="Q138">
        <f t="shared" si="47"/>
        <v>-0.18880533030859598</v>
      </c>
      <c r="R138">
        <f t="shared" si="39"/>
        <v>-5.7615131244079749E-2</v>
      </c>
      <c r="S138">
        <f t="shared" si="40"/>
        <v>3.9335013210155256E-4</v>
      </c>
      <c r="U138" s="15">
        <f t="shared" si="48"/>
        <v>1.320000000000001</v>
      </c>
      <c r="V138">
        <f t="shared" si="53"/>
        <v>4.9909881943564143</v>
      </c>
      <c r="W138">
        <f t="shared" si="41"/>
        <v>9.0118056435857241E-3</v>
      </c>
      <c r="X138">
        <f t="shared" si="49"/>
        <v>0.8473783797648039</v>
      </c>
      <c r="Y138">
        <f t="shared" si="50"/>
        <v>-2.3204893034201035E-2</v>
      </c>
      <c r="Z138">
        <f t="shared" si="42"/>
        <v>2.2612723946301753E-2</v>
      </c>
      <c r="AA138">
        <f t="shared" si="43"/>
        <v>9.6539221205928172E-2</v>
      </c>
    </row>
    <row r="139" spans="8:27" x14ac:dyDescent="0.25">
      <c r="H139" s="15">
        <f t="shared" si="44"/>
        <v>1.330000000000001</v>
      </c>
      <c r="I139" s="9">
        <f t="shared" si="37"/>
        <v>47.414010324146346</v>
      </c>
      <c r="J139">
        <f t="shared" si="51"/>
        <v>47.499153361796033</v>
      </c>
      <c r="K139">
        <f t="shared" si="36"/>
        <v>49.874160367783141</v>
      </c>
      <c r="M139" s="15">
        <f t="shared" si="45"/>
        <v>1.330000000000001</v>
      </c>
      <c r="N139">
        <f t="shared" si="52"/>
        <v>2.2036572633860958E-2</v>
      </c>
      <c r="O139">
        <f t="shared" si="38"/>
        <v>7.2085206242460162E-2</v>
      </c>
      <c r="P139">
        <f t="shared" si="46"/>
        <v>-2.8541599752143251E-2</v>
      </c>
      <c r="Q139">
        <f t="shared" si="47"/>
        <v>-0.18412910171662494</v>
      </c>
      <c r="R139">
        <f t="shared" si="39"/>
        <v>-5.6065045601325983E-2</v>
      </c>
      <c r="S139">
        <f t="shared" si="40"/>
        <v>3.7887729296219586E-4</v>
      </c>
      <c r="U139" s="15">
        <f t="shared" si="48"/>
        <v>1.330000000000001</v>
      </c>
      <c r="V139">
        <f t="shared" si="53"/>
        <v>4.9912143215958773</v>
      </c>
      <c r="W139">
        <f t="shared" si="41"/>
        <v>8.7856784041226987E-3</v>
      </c>
      <c r="X139">
        <f t="shared" si="49"/>
        <v>0.84746736718504245</v>
      </c>
      <c r="Y139">
        <f t="shared" si="50"/>
        <v>-2.2612723946302538E-2</v>
      </c>
      <c r="Z139">
        <f t="shared" si="42"/>
        <v>2.2036572633860958E-2</v>
      </c>
      <c r="AA139">
        <f t="shared" si="43"/>
        <v>9.4121778876321116E-2</v>
      </c>
    </row>
    <row r="140" spans="8:27" x14ac:dyDescent="0.25">
      <c r="H140" s="15">
        <f t="shared" si="44"/>
        <v>1.340000000000001</v>
      </c>
      <c r="I140" s="9">
        <f t="shared" si="37"/>
        <v>47.470963873325992</v>
      </c>
      <c r="J140">
        <f t="shared" si="51"/>
        <v>47.554847305131965</v>
      </c>
      <c r="K140">
        <f t="shared" si="36"/>
        <v>49.876962820856043</v>
      </c>
      <c r="M140" s="15">
        <f t="shared" si="45"/>
        <v>1.340000000000001</v>
      </c>
      <c r="N140">
        <f t="shared" si="52"/>
        <v>2.1475922177847696E-2</v>
      </c>
      <c r="O140">
        <f t="shared" si="38"/>
        <v>7.0289543638628021E-2</v>
      </c>
      <c r="P140">
        <f t="shared" si="46"/>
        <v>-2.7829726002737809E-2</v>
      </c>
      <c r="Q140">
        <f t="shared" si="47"/>
        <v>-0.17956626038321405</v>
      </c>
      <c r="R140">
        <f t="shared" si="39"/>
        <v>-5.4564255156746483E-2</v>
      </c>
      <c r="S140">
        <f t="shared" si="40"/>
        <v>3.6520534026514284E-4</v>
      </c>
      <c r="U140" s="15">
        <f t="shared" si="48"/>
        <v>1.340000000000001</v>
      </c>
      <c r="V140">
        <f t="shared" si="53"/>
        <v>4.991434687322216</v>
      </c>
      <c r="W140">
        <f t="shared" si="41"/>
        <v>8.5653126777840427E-3</v>
      </c>
      <c r="X140">
        <f t="shared" si="49"/>
        <v>0.847554122140452</v>
      </c>
      <c r="Y140">
        <f t="shared" si="50"/>
        <v>-2.2036572633865603E-2</v>
      </c>
      <c r="Z140">
        <f t="shared" si="42"/>
        <v>2.1475922177847696E-2</v>
      </c>
      <c r="AA140">
        <f t="shared" si="43"/>
        <v>9.1765465816475711E-2</v>
      </c>
    </row>
    <row r="141" spans="8:27" x14ac:dyDescent="0.25">
      <c r="H141" s="15">
        <f t="shared" si="44"/>
        <v>1.350000000000001</v>
      </c>
      <c r="I141" s="9">
        <f t="shared" si="37"/>
        <v>47.526663083869096</v>
      </c>
      <c r="J141">
        <f t="shared" si="51"/>
        <v>47.609300942374389</v>
      </c>
      <c r="K141">
        <f t="shared" si="36"/>
        <v>49.879702863199611</v>
      </c>
      <c r="M141" s="15">
        <f t="shared" si="45"/>
        <v>1.350000000000001</v>
      </c>
      <c r="N141">
        <f t="shared" si="52"/>
        <v>2.0930279626280232E-2</v>
      </c>
      <c r="O141">
        <f t="shared" si="38"/>
        <v>6.8538400756861698E-2</v>
      </c>
      <c r="P141">
        <f t="shared" si="46"/>
        <v>-2.7135586280760359E-2</v>
      </c>
      <c r="Q141">
        <f t="shared" si="47"/>
        <v>-0.17511428817663238</v>
      </c>
      <c r="R141">
        <f t="shared" si="39"/>
        <v>-5.311052751389482E-2</v>
      </c>
      <c r="S141">
        <f t="shared" si="40"/>
        <v>3.5227277184472772E-4</v>
      </c>
      <c r="U141" s="15">
        <f t="shared" si="48"/>
        <v>1.350000000000001</v>
      </c>
      <c r="V141">
        <f t="shared" si="53"/>
        <v>4.9916494465439945</v>
      </c>
      <c r="W141">
        <f t="shared" si="41"/>
        <v>8.3505534560055494E-3</v>
      </c>
      <c r="X141">
        <f t="shared" si="49"/>
        <v>0.84763870147112097</v>
      </c>
      <c r="Y141">
        <f t="shared" si="50"/>
        <v>-2.1475922177849327E-2</v>
      </c>
      <c r="Z141">
        <f t="shared" si="42"/>
        <v>2.0930279626280232E-2</v>
      </c>
      <c r="AA141">
        <f t="shared" si="43"/>
        <v>8.946868038314193E-2</v>
      </c>
    </row>
    <row r="142" spans="8:27" x14ac:dyDescent="0.25">
      <c r="H142" s="15">
        <f t="shared" si="44"/>
        <v>1.360000000000001</v>
      </c>
      <c r="I142" s="9">
        <f t="shared" si="37"/>
        <v>47.581135581190345</v>
      </c>
      <c r="J142">
        <f t="shared" si="51"/>
        <v>47.662541895183992</v>
      </c>
      <c r="K142">
        <f t="shared" si="36"/>
        <v>49.882381884703001</v>
      </c>
      <c r="M142" s="15">
        <f t="shared" si="45"/>
        <v>1.360000000000001</v>
      </c>
      <c r="N142">
        <f t="shared" si="52"/>
        <v>2.0399174351141285E-2</v>
      </c>
      <c r="O142">
        <f t="shared" si="38"/>
        <v>6.6830693752642015E-2</v>
      </c>
      <c r="P142">
        <f t="shared" si="46"/>
        <v>-2.6458740808212842E-2</v>
      </c>
      <c r="Q142">
        <f t="shared" si="47"/>
        <v>-0.17077070042196829</v>
      </c>
      <c r="R142">
        <f t="shared" si="39"/>
        <v>-5.1701780615718541E-2</v>
      </c>
      <c r="S142">
        <f t="shared" si="40"/>
        <v>3.40023539999873E-4</v>
      </c>
      <c r="U142" s="15">
        <f t="shared" si="48"/>
        <v>1.360000000000001</v>
      </c>
      <c r="V142">
        <f t="shared" si="53"/>
        <v>4.9918587493402571</v>
      </c>
      <c r="W142">
        <f t="shared" si="41"/>
        <v>8.1412506597429157E-3</v>
      </c>
      <c r="X142">
        <f t="shared" si="49"/>
        <v>0.84772116049169977</v>
      </c>
      <c r="Y142">
        <f t="shared" si="50"/>
        <v>-2.0930279626263371E-2</v>
      </c>
      <c r="Z142">
        <f t="shared" si="42"/>
        <v>2.0399174351141285E-2</v>
      </c>
      <c r="AA142">
        <f t="shared" si="43"/>
        <v>8.7229868103783303E-2</v>
      </c>
    </row>
    <row r="143" spans="8:27" x14ac:dyDescent="0.25">
      <c r="H143" s="15">
        <f t="shared" si="44"/>
        <v>1.370000000000001</v>
      </c>
      <c r="I143" s="9">
        <f t="shared" si="37"/>
        <v>47.634408382285393</v>
      </c>
      <c r="J143">
        <f t="shared" si="51"/>
        <v>47.714597170086108</v>
      </c>
      <c r="K143">
        <f t="shared" si="36"/>
        <v>49.885001244302494</v>
      </c>
      <c r="M143" s="15">
        <f t="shared" si="45"/>
        <v>1.370000000000001</v>
      </c>
      <c r="N143">
        <f t="shared" si="52"/>
        <v>1.9882156544984101E-2</v>
      </c>
      <c r="O143">
        <f t="shared" si="38"/>
        <v>6.5165363274232335E-2</v>
      </c>
      <c r="P143">
        <f t="shared" si="46"/>
        <v>-2.579876052307847E-2</v>
      </c>
      <c r="Q143">
        <f t="shared" si="47"/>
        <v>-0.16653304784096795</v>
      </c>
      <c r="R143">
        <f t="shared" si="39"/>
        <v>-5.0336070058926673E-2</v>
      </c>
      <c r="S143">
        <f t="shared" si="40"/>
        <v>3.2840654533734803E-4</v>
      </c>
      <c r="U143" s="15">
        <f t="shared" si="48"/>
        <v>1.370000000000001</v>
      </c>
      <c r="V143">
        <f t="shared" si="53"/>
        <v>4.9920627410837684</v>
      </c>
      <c r="W143">
        <f t="shared" si="41"/>
        <v>7.9372589162316487E-3</v>
      </c>
      <c r="X143">
        <f t="shared" si="49"/>
        <v>0.8478015530395796</v>
      </c>
      <c r="Y143">
        <f t="shared" si="50"/>
        <v>-2.0399174351126703E-2</v>
      </c>
      <c r="Z143">
        <f t="shared" si="42"/>
        <v>1.9882156544984101E-2</v>
      </c>
      <c r="AA143">
        <f t="shared" si="43"/>
        <v>8.5047519819216433E-2</v>
      </c>
    </row>
    <row r="144" spans="8:27" x14ac:dyDescent="0.25">
      <c r="H144" s="15">
        <f t="shared" si="44"/>
        <v>1.380000000000001</v>
      </c>
      <c r="I144" s="9">
        <f t="shared" si="37"/>
        <v>47.686507909130576</v>
      </c>
      <c r="J144">
        <f t="shared" si="51"/>
        <v>47.765493172169798</v>
      </c>
      <c r="K144">
        <f t="shared" si="36"/>
        <v>49.887562270670799</v>
      </c>
      <c r="M144" s="15">
        <f t="shared" si="45"/>
        <v>1.380000000000001</v>
      </c>
      <c r="N144">
        <f t="shared" si="52"/>
        <v>1.9378795844394836E-2</v>
      </c>
      <c r="O144">
        <f t="shared" si="38"/>
        <v>6.3541374092510261E-2</v>
      </c>
      <c r="P144">
        <f t="shared" si="46"/>
        <v>-2.5155226836244757E-2</v>
      </c>
      <c r="Q144">
        <f t="shared" si="47"/>
        <v>-0.16239891817220742</v>
      </c>
      <c r="R144">
        <f t="shared" si="39"/>
        <v>-4.9011577563646769E-2</v>
      </c>
      <c r="S144">
        <f t="shared" si="40"/>
        <v>3.1737517792534975E-4</v>
      </c>
      <c r="U144" s="15">
        <f t="shared" si="48"/>
        <v>1.380000000000001</v>
      </c>
      <c r="V144">
        <f t="shared" si="53"/>
        <v>4.9922615626492179</v>
      </c>
      <c r="W144">
        <f t="shared" si="41"/>
        <v>7.738437350782057E-3</v>
      </c>
      <c r="X144">
        <f t="shared" si="49"/>
        <v>0.84787993152091468</v>
      </c>
      <c r="Y144">
        <f t="shared" si="50"/>
        <v>-1.9882156544959173E-2</v>
      </c>
      <c r="Z144">
        <f t="shared" si="42"/>
        <v>1.9378795844394836E-2</v>
      </c>
      <c r="AA144">
        <f t="shared" si="43"/>
        <v>8.2920169936905097E-2</v>
      </c>
    </row>
    <row r="145" spans="8:27" x14ac:dyDescent="0.25">
      <c r="H145" s="15">
        <f t="shared" si="44"/>
        <v>1.390000000000001</v>
      </c>
      <c r="I145" s="9">
        <f t="shared" si="37"/>
        <v>47.737460001787547</v>
      </c>
      <c r="J145">
        <f t="shared" si="51"/>
        <v>47.815255718481836</v>
      </c>
      <c r="K145">
        <f t="shared" si="36"/>
        <v>49.89006626289104</v>
      </c>
      <c r="M145" s="15">
        <f t="shared" si="45"/>
        <v>1.390000000000001</v>
      </c>
      <c r="N145">
        <f t="shared" si="52"/>
        <v>1.8888680068758368E-2</v>
      </c>
      <c r="O145">
        <f t="shared" si="38"/>
        <v>6.1957714717116044E-2</v>
      </c>
      <c r="P145">
        <f t="shared" si="46"/>
        <v>-2.4527731392196626E-2</v>
      </c>
      <c r="Q145">
        <f t="shared" si="47"/>
        <v>-0.15836593753942169</v>
      </c>
      <c r="R145">
        <f t="shared" si="39"/>
        <v>-4.7726600506006127E-2</v>
      </c>
      <c r="S145">
        <f t="shared" si="40"/>
        <v>3.0688690214526748E-4</v>
      </c>
      <c r="U145" s="15">
        <f t="shared" si="48"/>
        <v>1.390000000000001</v>
      </c>
      <c r="V145">
        <f t="shared" si="53"/>
        <v>4.9924553506076617</v>
      </c>
      <c r="W145">
        <f t="shared" si="41"/>
        <v>7.5446493923383429E-3</v>
      </c>
      <c r="X145">
        <f t="shared" si="49"/>
        <v>0.84795634695463029</v>
      </c>
      <c r="Y145">
        <f t="shared" si="50"/>
        <v>-1.937879584437141E-2</v>
      </c>
      <c r="Z145">
        <f t="shared" si="42"/>
        <v>1.8888680068758368E-2</v>
      </c>
      <c r="AA145">
        <f t="shared" si="43"/>
        <v>8.0846394785874409E-2</v>
      </c>
    </row>
    <row r="146" spans="8:27" x14ac:dyDescent="0.25">
      <c r="H146" s="15">
        <f t="shared" si="44"/>
        <v>1.400000000000001</v>
      </c>
      <c r="I146" s="9">
        <f t="shared" si="37"/>
        <v>47.787289931219341</v>
      </c>
      <c r="J146">
        <f t="shared" si="51"/>
        <v>47.863910051122467</v>
      </c>
      <c r="K146">
        <f t="shared" si="36"/>
        <v>49.892514491115719</v>
      </c>
      <c r="M146" s="15">
        <f t="shared" si="45"/>
        <v>1.400000000000001</v>
      </c>
      <c r="N146">
        <f t="shared" si="52"/>
        <v>1.8411414063698308E-2</v>
      </c>
      <c r="O146">
        <f t="shared" si="38"/>
        <v>6.0413397001728958E-2</v>
      </c>
      <c r="P146">
        <f t="shared" si="46"/>
        <v>-2.3915875833602402E-2</v>
      </c>
      <c r="Q146">
        <f t="shared" si="47"/>
        <v>-0.15443177153870863</v>
      </c>
      <c r="R146">
        <f t="shared" si="39"/>
        <v>-4.6479542392183298E-2</v>
      </c>
      <c r="S146">
        <f t="shared" si="40"/>
        <v>2.9690287994117714E-4</v>
      </c>
      <c r="U146" s="15">
        <f t="shared" si="48"/>
        <v>1.400000000000001</v>
      </c>
      <c r="V146">
        <f t="shared" si="53"/>
        <v>4.9926442374083493</v>
      </c>
      <c r="W146">
        <f t="shared" si="41"/>
        <v>7.3557625916507163E-3</v>
      </c>
      <c r="X146">
        <f t="shared" si="49"/>
        <v>0.84803084901455028</v>
      </c>
      <c r="Y146">
        <f t="shared" si="50"/>
        <v>-1.8888680068762653E-2</v>
      </c>
      <c r="Z146">
        <f t="shared" si="42"/>
        <v>1.8411414063698308E-2</v>
      </c>
      <c r="AA146">
        <f t="shared" si="43"/>
        <v>7.8824811065427269E-2</v>
      </c>
    </row>
    <row r="147" spans="8:27" x14ac:dyDescent="0.25">
      <c r="H147" s="15">
        <f t="shared" si="44"/>
        <v>1.410000000000001</v>
      </c>
      <c r="I147" s="9">
        <f t="shared" si="37"/>
        <v>47.836022411824096</v>
      </c>
      <c r="J147">
        <f t="shared" si="51"/>
        <v>47.911480850049458</v>
      </c>
      <c r="K147">
        <f t="shared" si="36"/>
        <v>49.894908197211002</v>
      </c>
      <c r="M147" s="15">
        <f t="shared" si="45"/>
        <v>1.410000000000001</v>
      </c>
      <c r="N147">
        <f t="shared" si="52"/>
        <v>1.7946618639776476E-2</v>
      </c>
      <c r="O147">
        <f t="shared" si="38"/>
        <v>5.8907455740516534E-2</v>
      </c>
      <c r="P147">
        <f t="shared" si="46"/>
        <v>-2.3319271569891175E-2</v>
      </c>
      <c r="Q147">
        <f t="shared" si="47"/>
        <v>-0.15059412612124234</v>
      </c>
      <c r="R147">
        <f t="shared" si="39"/>
        <v>-4.5268904200721737E-2</v>
      </c>
      <c r="S147">
        <f t="shared" si="40"/>
        <v>2.873876296352329E-4</v>
      </c>
      <c r="U147" s="15">
        <f t="shared" si="48"/>
        <v>1.410000000000001</v>
      </c>
      <c r="V147">
        <f t="shared" si="53"/>
        <v>4.9928283515489866</v>
      </c>
      <c r="W147">
        <f t="shared" si="41"/>
        <v>7.1716484510133682E-3</v>
      </c>
      <c r="X147">
        <f t="shared" si="49"/>
        <v>0.8481034860697636</v>
      </c>
      <c r="Y147">
        <f t="shared" si="50"/>
        <v>-1.841141406373481E-2</v>
      </c>
      <c r="Z147">
        <f t="shared" si="42"/>
        <v>1.7946618639776476E-2</v>
      </c>
      <c r="AA147">
        <f t="shared" si="43"/>
        <v>7.6854074380293014E-2</v>
      </c>
    </row>
    <row r="148" spans="8:27" x14ac:dyDescent="0.25">
      <c r="H148" s="15">
        <f t="shared" si="44"/>
        <v>1.420000000000001</v>
      </c>
      <c r="I148" s="9">
        <f t="shared" si="37"/>
        <v>47.883681613692779</v>
      </c>
      <c r="J148">
        <f t="shared" si="51"/>
        <v>47.957992245597048</v>
      </c>
      <c r="K148">
        <f t="shared" si="36"/>
        <v>49.897248595386642</v>
      </c>
      <c r="M148" s="15">
        <f t="shared" si="45"/>
        <v>1.420000000000001</v>
      </c>
      <c r="N148">
        <f t="shared" si="52"/>
        <v>1.749392959776926E-2</v>
      </c>
      <c r="O148">
        <f t="shared" si="38"/>
        <v>5.7438948257710162E-2</v>
      </c>
      <c r="P148">
        <f t="shared" si="46"/>
        <v>-2.2737539549900043E-2</v>
      </c>
      <c r="Q148">
        <f t="shared" si="47"/>
        <v>-0.14685074828063721</v>
      </c>
      <c r="R148">
        <f t="shared" si="39"/>
        <v>-4.4093276510627631E-2</v>
      </c>
      <c r="S148">
        <f t="shared" si="40"/>
        <v>2.7830871688626357E-4</v>
      </c>
      <c r="U148" s="15">
        <f t="shared" si="48"/>
        <v>1.420000000000001</v>
      </c>
      <c r="V148">
        <f t="shared" si="53"/>
        <v>4.9930078177353847</v>
      </c>
      <c r="W148">
        <f t="shared" si="41"/>
        <v>6.9921822646152876E-3</v>
      </c>
      <c r="X148">
        <f t="shared" si="49"/>
        <v>0.8481743052233417</v>
      </c>
      <c r="Y148">
        <f t="shared" si="50"/>
        <v>-1.7946618639808065E-2</v>
      </c>
      <c r="Z148">
        <f t="shared" si="42"/>
        <v>1.749392959776926E-2</v>
      </c>
      <c r="AA148">
        <f t="shared" si="43"/>
        <v>7.4932877855479418E-2</v>
      </c>
    </row>
    <row r="149" spans="8:27" x14ac:dyDescent="0.25">
      <c r="H149" s="15">
        <f t="shared" si="44"/>
        <v>1.430000000000001</v>
      </c>
      <c r="I149" s="9">
        <f t="shared" si="37"/>
        <v>47.930291174596981</v>
      </c>
      <c r="J149">
        <f t="shared" si="51"/>
        <v>48.003467830716069</v>
      </c>
      <c r="K149">
        <f t="shared" ref="K149:K212" si="54">K148+$E$8*DEGREES($E$6*$C$5*$C$6^2*$E$5/(4*$C$7)*$C$8*RADIANS(K148) +$E$6*$C$5*$C$6*$E$5^2/(2*$C$7)*$C$9*$C$18)</f>
        <v>49.899536872811893</v>
      </c>
      <c r="M149" s="15">
        <f t="shared" si="45"/>
        <v>1.430000000000001</v>
      </c>
      <c r="N149">
        <f t="shared" si="52"/>
        <v>1.7052996832662985E-2</v>
      </c>
      <c r="O149">
        <f t="shared" si="38"/>
        <v>5.6006953992125463E-2</v>
      </c>
      <c r="P149">
        <f t="shared" si="46"/>
        <v>-2.2170310038650866E-2</v>
      </c>
      <c r="Q149">
        <f t="shared" si="47"/>
        <v>-0.1431994265584699</v>
      </c>
      <c r="R149">
        <f t="shared" si="39"/>
        <v>-4.2951332338654565E-2</v>
      </c>
      <c r="S149">
        <f t="shared" si="40"/>
        <v>2.696364745880947E-4</v>
      </c>
      <c r="U149" s="15">
        <f t="shared" si="48"/>
        <v>1.430000000000001</v>
      </c>
      <c r="V149">
        <f t="shared" si="53"/>
        <v>4.9931827570313621</v>
      </c>
      <c r="W149">
        <f t="shared" si="41"/>
        <v>6.8172429686379488E-3</v>
      </c>
      <c r="X149">
        <f t="shared" si="49"/>
        <v>0.84824335234950798</v>
      </c>
      <c r="Y149">
        <f t="shared" si="50"/>
        <v>-1.7493929597733882E-2</v>
      </c>
      <c r="Z149">
        <f t="shared" si="42"/>
        <v>1.7052996832662985E-2</v>
      </c>
      <c r="AA149">
        <f t="shared" si="43"/>
        <v>7.3059950824788444E-2</v>
      </c>
    </row>
    <row r="150" spans="8:27" x14ac:dyDescent="0.25">
      <c r="H150" s="15">
        <f t="shared" si="44"/>
        <v>1.4400000000000011</v>
      </c>
      <c r="I150" s="9">
        <f t="shared" si="37"/>
        <v>47.97587421171265</v>
      </c>
      <c r="J150">
        <f t="shared" si="51"/>
        <v>48.047930672941504</v>
      </c>
      <c r="K150">
        <f t="shared" si="54"/>
        <v>49.901774190217722</v>
      </c>
      <c r="M150" s="15">
        <f t="shared" si="45"/>
        <v>1.4400000000000011</v>
      </c>
      <c r="N150">
        <f t="shared" si="52"/>
        <v>1.6623483509276438E-2</v>
      </c>
      <c r="O150">
        <f t="shared" si="38"/>
        <v>5.4610574078118437E-2</v>
      </c>
      <c r="P150">
        <f t="shared" si="46"/>
        <v>-2.1617222398299645E-2</v>
      </c>
      <c r="Q150">
        <f t="shared" si="47"/>
        <v>-0.1396379914007026</v>
      </c>
      <c r="R150">
        <f t="shared" si="39"/>
        <v>-4.1841820624983164E-2</v>
      </c>
      <c r="S150">
        <f t="shared" si="40"/>
        <v>2.6134374926838067E-4</v>
      </c>
      <c r="U150" s="15">
        <f t="shared" si="48"/>
        <v>1.4400000000000011</v>
      </c>
      <c r="V150">
        <f t="shared" si="53"/>
        <v>4.9933532869996888</v>
      </c>
      <c r="W150">
        <f t="shared" si="41"/>
        <v>6.6467130003111663E-3</v>
      </c>
      <c r="X150">
        <f t="shared" si="49"/>
        <v>0.84831067212935274</v>
      </c>
      <c r="Y150">
        <f t="shared" si="50"/>
        <v>-1.7052996832678247E-2</v>
      </c>
      <c r="Z150">
        <f t="shared" si="42"/>
        <v>1.6623483509276438E-2</v>
      </c>
      <c r="AA150">
        <f t="shared" si="43"/>
        <v>7.1234057587394872E-2</v>
      </c>
    </row>
    <row r="151" spans="8:27" x14ac:dyDescent="0.25">
      <c r="H151" s="15">
        <f t="shared" si="44"/>
        <v>1.4500000000000011</v>
      </c>
      <c r="I151" s="9">
        <f t="shared" si="37"/>
        <v>48.020453333085577</v>
      </c>
      <c r="J151">
        <f t="shared" si="51"/>
        <v>48.091403326093513</v>
      </c>
      <c r="K151">
        <f t="shared" si="54"/>
        <v>49.903961682485566</v>
      </c>
      <c r="M151" s="15">
        <f t="shared" si="45"/>
        <v>1.4500000000000011</v>
      </c>
      <c r="N151">
        <f t="shared" si="52"/>
        <v>1.6205065303026608E-2</v>
      </c>
      <c r="O151">
        <f t="shared" si="38"/>
        <v>5.3248930924952823E-2</v>
      </c>
      <c r="P151">
        <f t="shared" si="46"/>
        <v>-2.107792487328429E-2</v>
      </c>
      <c r="Q151">
        <f t="shared" si="47"/>
        <v>-0.13616431531656148</v>
      </c>
      <c r="R151">
        <f t="shared" si="39"/>
        <v>-4.0763560273408821E-2</v>
      </c>
      <c r="S151">
        <f t="shared" si="40"/>
        <v>2.5340566968141964E-4</v>
      </c>
      <c r="U151" s="15">
        <f t="shared" si="48"/>
        <v>1.4500000000000011</v>
      </c>
      <c r="V151">
        <f t="shared" si="53"/>
        <v>4.9935195218347816</v>
      </c>
      <c r="W151">
        <f t="shared" si="41"/>
        <v>6.4804781652183507E-3</v>
      </c>
      <c r="X151">
        <f t="shared" si="49"/>
        <v>0.84837630808518039</v>
      </c>
      <c r="Y151">
        <f t="shared" si="50"/>
        <v>-1.6623483509281556E-2</v>
      </c>
      <c r="Z151">
        <f t="shared" si="42"/>
        <v>1.6205065303026608E-2</v>
      </c>
      <c r="AA151">
        <f t="shared" si="43"/>
        <v>6.9453996227979431E-2</v>
      </c>
    </row>
    <row r="152" spans="8:27" x14ac:dyDescent="0.25">
      <c r="H152" s="15">
        <f t="shared" si="44"/>
        <v>1.4600000000000011</v>
      </c>
      <c r="I152" s="9">
        <f t="shared" si="37"/>
        <v>48.064050648844521</v>
      </c>
      <c r="J152">
        <f t="shared" si="51"/>
        <v>48.133907841717885</v>
      </c>
      <c r="K152">
        <f t="shared" si="54"/>
        <v>49.906100459223019</v>
      </c>
      <c r="M152" s="15">
        <f t="shared" si="45"/>
        <v>1.4600000000000011</v>
      </c>
      <c r="N152">
        <f t="shared" si="52"/>
        <v>1.579742970029252E-2</v>
      </c>
      <c r="O152">
        <f t="shared" si="38"/>
        <v>5.1921167794427125E-2</v>
      </c>
      <c r="P152">
        <f t="shared" si="46"/>
        <v>-2.0552074379687389E-2</v>
      </c>
      <c r="Q152">
        <f t="shared" si="47"/>
        <v>-0.13277631305256971</v>
      </c>
      <c r="R152">
        <f t="shared" si="39"/>
        <v>-3.9715434780056881E-2</v>
      </c>
      <c r="S152">
        <f t="shared" si="40"/>
        <v>2.4579944010839905E-4</v>
      </c>
      <c r="U152" s="15">
        <f t="shared" si="48"/>
        <v>1.4600000000000011</v>
      </c>
      <c r="V152">
        <f t="shared" si="53"/>
        <v>4.9936815724878123</v>
      </c>
      <c r="W152">
        <f t="shared" si="41"/>
        <v>6.3184275121876965E-3</v>
      </c>
      <c r="X152">
        <f t="shared" si="49"/>
        <v>0.8484403026135674</v>
      </c>
      <c r="Y152">
        <f t="shared" si="50"/>
        <v>-1.6205065303065425E-2</v>
      </c>
      <c r="Z152">
        <f t="shared" si="42"/>
        <v>1.579742970029252E-2</v>
      </c>
      <c r="AA152">
        <f t="shared" si="43"/>
        <v>6.7718597494719646E-2</v>
      </c>
    </row>
    <row r="153" spans="8:27" x14ac:dyDescent="0.25">
      <c r="H153" s="15">
        <f t="shared" si="44"/>
        <v>1.4700000000000011</v>
      </c>
      <c r="I153" s="9">
        <f t="shared" si="37"/>
        <v>48.106687782167164</v>
      </c>
      <c r="J153">
        <f t="shared" si="51"/>
        <v>48.175465780271701</v>
      </c>
      <c r="K153">
        <f t="shared" si="54"/>
        <v>49.908191605326671</v>
      </c>
      <c r="M153" s="15">
        <f t="shared" si="45"/>
        <v>1.4700000000000011</v>
      </c>
      <c r="N153">
        <f t="shared" si="52"/>
        <v>1.5400275352491952E-2</v>
      </c>
      <c r="O153">
        <f t="shared" si="38"/>
        <v>5.0626448379585791E-2</v>
      </c>
      <c r="P153">
        <f t="shared" si="46"/>
        <v>-2.0039336298817323E-2</v>
      </c>
      <c r="Q153">
        <f t="shared" si="47"/>
        <v>-0.12947194148413346</v>
      </c>
      <c r="R153">
        <f t="shared" si="39"/>
        <v>-3.8696387278705488E-2</v>
      </c>
      <c r="S153">
        <f t="shared" si="40"/>
        <v>2.3850414975636752E-4</v>
      </c>
      <c r="U153" s="15">
        <f t="shared" si="48"/>
        <v>1.4700000000000011</v>
      </c>
      <c r="V153">
        <f t="shared" si="53"/>
        <v>4.9938395467848151</v>
      </c>
      <c r="W153">
        <f t="shared" si="41"/>
        <v>6.1604532151848801E-3</v>
      </c>
      <c r="X153">
        <f t="shared" si="49"/>
        <v>0.84850269701720427</v>
      </c>
      <c r="Y153">
        <f t="shared" si="50"/>
        <v>-1.579742970028164E-2</v>
      </c>
      <c r="Z153">
        <f t="shared" si="42"/>
        <v>1.5400275352491952E-2</v>
      </c>
      <c r="AA153">
        <f t="shared" si="43"/>
        <v>6.6026723732077741E-2</v>
      </c>
    </row>
    <row r="154" spans="8:27" x14ac:dyDescent="0.25">
      <c r="H154" s="15">
        <f t="shared" si="44"/>
        <v>1.4800000000000011</v>
      </c>
      <c r="I154" s="9">
        <f t="shared" si="37"/>
        <v>48.148385880004767</v>
      </c>
      <c r="J154">
        <f t="shared" si="51"/>
        <v>48.216098222059891</v>
      </c>
      <c r="K154">
        <f t="shared" si="54"/>
        <v>49.910236181532419</v>
      </c>
      <c r="M154" s="15">
        <f t="shared" si="45"/>
        <v>1.4800000000000011</v>
      </c>
      <c r="N154">
        <f t="shared" si="52"/>
        <v>1.5013311479704897E-2</v>
      </c>
      <c r="O154">
        <f t="shared" si="38"/>
        <v>4.9363956383980466E-2</v>
      </c>
      <c r="P154">
        <f t="shared" si="46"/>
        <v>-1.9539384274999492E-2</v>
      </c>
      <c r="Q154">
        <f t="shared" si="47"/>
        <v>-0.12624919956053249</v>
      </c>
      <c r="R154">
        <f t="shared" si="39"/>
        <v>-3.770541607434947E-2</v>
      </c>
      <c r="S154">
        <f t="shared" si="40"/>
        <v>2.3150060264184869E-4</v>
      </c>
      <c r="U154" s="15">
        <f t="shared" si="48"/>
        <v>1.4800000000000011</v>
      </c>
      <c r="V154">
        <f t="shared" si="53"/>
        <v>4.9939935495383398</v>
      </c>
      <c r="W154">
        <f t="shared" si="41"/>
        <v>6.0064504616601511E-3</v>
      </c>
      <c r="X154">
        <f t="shared" si="49"/>
        <v>0.8485635315355885</v>
      </c>
      <c r="Y154">
        <f t="shared" si="50"/>
        <v>-1.5400275352472903E-2</v>
      </c>
      <c r="Z154">
        <f t="shared" si="42"/>
        <v>1.5013311479704897E-2</v>
      </c>
      <c r="AA154">
        <f t="shared" si="43"/>
        <v>6.4377267863685361E-2</v>
      </c>
    </row>
    <row r="155" spans="8:27" x14ac:dyDescent="0.25">
      <c r="H155" s="15">
        <f t="shared" si="44"/>
        <v>1.4900000000000011</v>
      </c>
      <c r="I155" s="9">
        <f t="shared" si="37"/>
        <v>48.189165623570482</v>
      </c>
      <c r="J155">
        <f t="shared" si="51"/>
        <v>48.255825777928258</v>
      </c>
      <c r="K155">
        <f t="shared" si="54"/>
        <v>49.912235224953548</v>
      </c>
      <c r="M155" s="15">
        <f t="shared" si="45"/>
        <v>1.4900000000000011</v>
      </c>
      <c r="N155">
        <f t="shared" si="52"/>
        <v>1.4636257318961402E-2</v>
      </c>
      <c r="O155">
        <f t="shared" si="38"/>
        <v>4.813289510354285E-2</v>
      </c>
      <c r="P155">
        <f t="shared" si="46"/>
        <v>-1.9051900017561876E-2</v>
      </c>
      <c r="Q155">
        <f t="shared" si="47"/>
        <v>-0.12310612804376161</v>
      </c>
      <c r="R155">
        <f t="shared" si="39"/>
        <v>-3.6741570528726612E-2</v>
      </c>
      <c r="S155">
        <f t="shared" si="40"/>
        <v>2.2477116116129819E-4</v>
      </c>
      <c r="U155" s="15">
        <f t="shared" si="48"/>
        <v>1.4900000000000011</v>
      </c>
      <c r="V155">
        <f t="shared" si="53"/>
        <v>4.9941436826531369</v>
      </c>
      <c r="W155">
        <f t="shared" si="41"/>
        <v>5.8563173468630936E-3</v>
      </c>
      <c r="X155">
        <f t="shared" si="49"/>
        <v>0.84862284537463106</v>
      </c>
      <c r="Y155">
        <f t="shared" si="50"/>
        <v>-1.5013311479705749E-2</v>
      </c>
      <c r="Z155">
        <f t="shared" si="42"/>
        <v>1.4636257318961402E-2</v>
      </c>
      <c r="AA155">
        <f t="shared" si="43"/>
        <v>6.2769152422504249E-2</v>
      </c>
    </row>
    <row r="156" spans="8:27" x14ac:dyDescent="0.25">
      <c r="H156" s="15">
        <f t="shared" si="44"/>
        <v>1.5000000000000011</v>
      </c>
      <c r="I156" s="9">
        <f t="shared" si="37"/>
        <v>48.229047238596706</v>
      </c>
      <c r="J156">
        <f t="shared" si="51"/>
        <v>48.294668599718335</v>
      </c>
      <c r="K156">
        <f t="shared" si="54"/>
        <v>49.914189749606784</v>
      </c>
      <c r="M156" s="15">
        <f t="shared" si="45"/>
        <v>1.5000000000000011</v>
      </c>
      <c r="N156">
        <f t="shared" si="52"/>
        <v>1.4268841613674137E-2</v>
      </c>
      <c r="O156">
        <f t="shared" si="38"/>
        <v>4.693248701095077E-2</v>
      </c>
      <c r="P156">
        <f t="shared" si="46"/>
        <v>-1.8576573106989406E-2</v>
      </c>
      <c r="Q156">
        <f t="shared" si="47"/>
        <v>-0.12004080925920799</v>
      </c>
      <c r="R156">
        <f t="shared" si="39"/>
        <v>-3.5803947332198181E-2</v>
      </c>
      <c r="S156">
        <f t="shared" si="40"/>
        <v>2.1829960563756606E-4</v>
      </c>
      <c r="U156" s="15">
        <f t="shared" si="48"/>
        <v>1.5000000000000011</v>
      </c>
      <c r="V156">
        <f t="shared" si="53"/>
        <v>4.9942900452263261</v>
      </c>
      <c r="W156">
        <f t="shared" si="41"/>
        <v>5.7099547736738643E-3</v>
      </c>
      <c r="X156">
        <f t="shared" si="49"/>
        <v>0.84868067673523373</v>
      </c>
      <c r="Y156">
        <f t="shared" si="50"/>
        <v>-1.4636257318922929E-2</v>
      </c>
      <c r="Z156">
        <f t="shared" si="42"/>
        <v>1.4268841613674137E-2</v>
      </c>
      <c r="AA156">
        <f t="shared" si="43"/>
        <v>6.1201328624624907E-2</v>
      </c>
    </row>
    <row r="157" spans="8:27" x14ac:dyDescent="0.25">
      <c r="H157" s="15">
        <f t="shared" si="44"/>
        <v>1.5100000000000011</v>
      </c>
      <c r="I157" s="9">
        <f t="shared" si="37"/>
        <v>48.268050505366567</v>
      </c>
      <c r="J157">
        <f t="shared" si="51"/>
        <v>48.332646390489415</v>
      </c>
      <c r="K157">
        <f t="shared" si="54"/>
        <v>49.916100746926666</v>
      </c>
      <c r="M157" s="15">
        <f t="shared" si="45"/>
        <v>1.5100000000000011</v>
      </c>
      <c r="N157">
        <f t="shared" si="52"/>
        <v>1.3910802140352155E-2</v>
      </c>
      <c r="O157">
        <f t="shared" si="38"/>
        <v>4.5761973343249572E-2</v>
      </c>
      <c r="P157">
        <f t="shared" si="46"/>
        <v>-1.8113100805218406E-2</v>
      </c>
      <c r="Q157">
        <f t="shared" si="47"/>
        <v>-0.11705136677011979</v>
      </c>
      <c r="R157">
        <f t="shared" si="39"/>
        <v>-3.4891687106369584E-2</v>
      </c>
      <c r="S157">
        <f t="shared" si="40"/>
        <v>2.1207100729409012E-4</v>
      </c>
      <c r="U157" s="15">
        <f t="shared" si="48"/>
        <v>1.5100000000000011</v>
      </c>
      <c r="V157">
        <f t="shared" si="53"/>
        <v>4.994432733642463</v>
      </c>
      <c r="W157">
        <f t="shared" si="41"/>
        <v>5.5672663575370152E-3</v>
      </c>
      <c r="X157">
        <f t="shared" si="49"/>
        <v>0.84873706284088979</v>
      </c>
      <c r="Y157">
        <f t="shared" si="50"/>
        <v>-1.4268841613684913E-2</v>
      </c>
      <c r="Z157">
        <f t="shared" si="42"/>
        <v>1.3910802140352155E-2</v>
      </c>
      <c r="AA157">
        <f t="shared" si="43"/>
        <v>5.9672775483601725E-2</v>
      </c>
    </row>
    <row r="158" spans="8:27" x14ac:dyDescent="0.25">
      <c r="H158" s="15">
        <f t="shared" si="44"/>
        <v>1.5200000000000011</v>
      </c>
      <c r="I158" s="9">
        <f t="shared" si="37"/>
        <v>48.306194768524435</v>
      </c>
      <c r="J158">
        <f t="shared" si="51"/>
        <v>48.369778414512986</v>
      </c>
      <c r="K158">
        <f t="shared" si="54"/>
        <v>49.917969186268451</v>
      </c>
      <c r="M158" s="15">
        <f t="shared" si="45"/>
        <v>1.5200000000000011</v>
      </c>
      <c r="N158">
        <f t="shared" si="52"/>
        <v>1.3561885269288459E-2</v>
      </c>
      <c r="O158">
        <f t="shared" si="38"/>
        <v>4.4620613694153169E-2</v>
      </c>
      <c r="P158">
        <f t="shared" si="46"/>
        <v>-1.7661187870031392E-2</v>
      </c>
      <c r="Q158">
        <f t="shared" si="47"/>
        <v>-0.11413596490964031</v>
      </c>
      <c r="R158">
        <f t="shared" si="39"/>
        <v>-3.4003971261646816E-2</v>
      </c>
      <c r="S158">
        <f t="shared" si="40"/>
        <v>2.0607161094702425E-4</v>
      </c>
      <c r="U158" s="15">
        <f t="shared" si="48"/>
        <v>1.5200000000000011</v>
      </c>
      <c r="V158">
        <f t="shared" si="53"/>
        <v>4.9945718416638663</v>
      </c>
      <c r="W158">
        <f t="shared" si="41"/>
        <v>5.4281583361337482E-3</v>
      </c>
      <c r="X158">
        <f t="shared" si="49"/>
        <v>0.84879203996435815</v>
      </c>
      <c r="Y158">
        <f t="shared" si="50"/>
        <v>-1.3910802140326695E-2</v>
      </c>
      <c r="Z158">
        <f t="shared" si="42"/>
        <v>1.3561885269288459E-2</v>
      </c>
      <c r="AA158">
        <f t="shared" si="43"/>
        <v>5.8182498963441631E-2</v>
      </c>
    </row>
    <row r="159" spans="8:27" x14ac:dyDescent="0.25">
      <c r="H159" s="15">
        <f t="shared" si="44"/>
        <v>1.5300000000000011</v>
      </c>
      <c r="I159" s="9">
        <f t="shared" si="37"/>
        <v>48.343498946670366</v>
      </c>
      <c r="J159">
        <f t="shared" si="51"/>
        <v>48.406083507044507</v>
      </c>
      <c r="K159">
        <f t="shared" si="54"/>
        <v>49.919796015399825</v>
      </c>
      <c r="M159" s="15">
        <f t="shared" si="45"/>
        <v>1.5300000000000011</v>
      </c>
      <c r="N159">
        <f t="shared" si="52"/>
        <v>1.3221845556671991E-2</v>
      </c>
      <c r="O159">
        <f t="shared" si="38"/>
        <v>4.3507685609975373E-2</v>
      </c>
      <c r="P159">
        <f t="shared" si="46"/>
        <v>-1.722054637351075E-2</v>
      </c>
      <c r="Q159">
        <f t="shared" si="47"/>
        <v>-0.11129280841777958</v>
      </c>
      <c r="R159">
        <f t="shared" si="39"/>
        <v>-3.314001918458627E-2</v>
      </c>
      <c r="S159">
        <f t="shared" si="40"/>
        <v>2.0028873178080248E-4</v>
      </c>
      <c r="U159" s="15">
        <f t="shared" si="48"/>
        <v>1.5300000000000011</v>
      </c>
      <c r="V159">
        <f t="shared" si="53"/>
        <v>4.9947074605165591</v>
      </c>
      <c r="W159">
        <f t="shared" si="41"/>
        <v>5.2925394834408834E-3</v>
      </c>
      <c r="X159">
        <f t="shared" si="49"/>
        <v>0.84884564345345603</v>
      </c>
      <c r="Y159">
        <f t="shared" si="50"/>
        <v>-1.3561885269286478E-2</v>
      </c>
      <c r="Z159">
        <f t="shared" si="42"/>
        <v>1.3221845556671991E-2</v>
      </c>
      <c r="AA159">
        <f t="shared" si="43"/>
        <v>5.6729531166647362E-2</v>
      </c>
    </row>
    <row r="160" spans="8:27" x14ac:dyDescent="0.25">
      <c r="H160" s="15">
        <f t="shared" si="44"/>
        <v>1.5400000000000011</v>
      </c>
      <c r="I160" s="9">
        <f t="shared" si="37"/>
        <v>48.379981541743312</v>
      </c>
      <c r="J160">
        <f t="shared" si="51"/>
        <v>48.441580083877632</v>
      </c>
      <c r="K160">
        <f t="shared" si="54"/>
        <v>49.921582160981643</v>
      </c>
      <c r="M160" s="15">
        <f t="shared" si="45"/>
        <v>1.5400000000000011</v>
      </c>
      <c r="N160">
        <f t="shared" si="52"/>
        <v>1.2890445364826128E-2</v>
      </c>
      <c r="O160">
        <f t="shared" si="38"/>
        <v>4.2422484191352375E-2</v>
      </c>
      <c r="P160">
        <f t="shared" si="46"/>
        <v>-1.679089552450411E-2</v>
      </c>
      <c r="Q160">
        <f t="shared" si="47"/>
        <v>-0.10852014186229983</v>
      </c>
      <c r="R160">
        <f t="shared" si="39"/>
        <v>-3.229908560438307E-2</v>
      </c>
      <c r="S160">
        <f t="shared" si="40"/>
        <v>1.9471065843879726E-4</v>
      </c>
      <c r="U160" s="15">
        <f t="shared" si="48"/>
        <v>1.5400000000000011</v>
      </c>
      <c r="V160">
        <f t="shared" si="53"/>
        <v>4.9948396789721254</v>
      </c>
      <c r="W160">
        <f t="shared" si="41"/>
        <v>5.1603210278745593E-3</v>
      </c>
      <c r="X160">
        <f t="shared" si="49"/>
        <v>0.84889790775601259</v>
      </c>
      <c r="Y160">
        <f t="shared" si="50"/>
        <v>-1.3221845556632417E-2</v>
      </c>
      <c r="Z160">
        <f t="shared" si="42"/>
        <v>1.2890445364826128E-2</v>
      </c>
      <c r="AA160">
        <f t="shared" si="43"/>
        <v>5.5312929556178503E-2</v>
      </c>
    </row>
    <row r="161" spans="8:27" x14ac:dyDescent="0.25">
      <c r="H161" s="15">
        <f t="shared" si="44"/>
        <v>1.5500000000000012</v>
      </c>
      <c r="I161" s="9">
        <f t="shared" si="37"/>
        <v>48.415660648197523</v>
      </c>
      <c r="J161">
        <f t="shared" si="51"/>
        <v>48.476286150685652</v>
      </c>
      <c r="K161">
        <f t="shared" si="54"/>
        <v>49.923328529038002</v>
      </c>
      <c r="M161" s="15">
        <f t="shared" si="45"/>
        <v>1.5500000000000012</v>
      </c>
      <c r="N161">
        <f t="shared" si="52"/>
        <v>1.2567454508782298E-2</v>
      </c>
      <c r="O161">
        <f t="shared" si="38"/>
        <v>4.1364321699529943E-2</v>
      </c>
      <c r="P161">
        <f t="shared" si="46"/>
        <v>-1.63719614950497E-2</v>
      </c>
      <c r="Q161">
        <f t="shared" si="47"/>
        <v>-0.10581624918224314</v>
      </c>
      <c r="R161">
        <f t="shared" si="39"/>
        <v>-3.1480458237484597E-2</v>
      </c>
      <c r="S161">
        <f t="shared" si="40"/>
        <v>1.8932656801104453E-4</v>
      </c>
      <c r="U161" s="15">
        <f t="shared" si="48"/>
        <v>1.5500000000000012</v>
      </c>
      <c r="V161">
        <f t="shared" si="53"/>
        <v>4.9949685834257735</v>
      </c>
      <c r="W161">
        <f t="shared" si="41"/>
        <v>5.0314165742264549E-3</v>
      </c>
      <c r="X161">
        <f t="shared" si="49"/>
        <v>0.84894886644402312</v>
      </c>
      <c r="Y161">
        <f t="shared" si="50"/>
        <v>-1.2890445364810432E-2</v>
      </c>
      <c r="Z161">
        <f t="shared" si="42"/>
        <v>1.2567454508782298E-2</v>
      </c>
      <c r="AA161">
        <f t="shared" si="43"/>
        <v>5.3931776208312243E-2</v>
      </c>
    </row>
    <row r="162" spans="8:27" x14ac:dyDescent="0.25">
      <c r="H162" s="15">
        <f t="shared" si="44"/>
        <v>1.5600000000000012</v>
      </c>
      <c r="I162" s="9">
        <f t="shared" si="37"/>
        <v>48.450553961977029</v>
      </c>
      <c r="J162">
        <f t="shared" si="51"/>
        <v>48.510219312154859</v>
      </c>
      <c r="K162">
        <f t="shared" si="54"/>
        <v>49.925036005415805</v>
      </c>
      <c r="M162" s="15">
        <f t="shared" si="45"/>
        <v>1.5600000000000012</v>
      </c>
      <c r="N162">
        <f t="shared" si="52"/>
        <v>1.2252649926407452E-2</v>
      </c>
      <c r="O162">
        <f t="shared" si="38"/>
        <v>4.0332527168857768E-2</v>
      </c>
      <c r="P162">
        <f t="shared" si="46"/>
        <v>-1.596347725070776E-2</v>
      </c>
      <c r="Q162">
        <f t="shared" si="47"/>
        <v>-0.10317945306721754</v>
      </c>
      <c r="R162">
        <f t="shared" si="39"/>
        <v>-3.0683455585633169E-2</v>
      </c>
      <c r="S162">
        <f t="shared" si="40"/>
        <v>1.8412644649544452E-4</v>
      </c>
      <c r="U162" s="15">
        <f t="shared" si="48"/>
        <v>1.5600000000000012</v>
      </c>
      <c r="V162">
        <f t="shared" si="53"/>
        <v>4.9950942579708615</v>
      </c>
      <c r="W162">
        <f t="shared" si="41"/>
        <v>4.9057420291385156E-3</v>
      </c>
      <c r="X162">
        <f t="shared" si="49"/>
        <v>0.84899855223703991</v>
      </c>
      <c r="Y162">
        <f t="shared" si="50"/>
        <v>-1.2567454508793929E-2</v>
      </c>
      <c r="Z162">
        <f t="shared" si="42"/>
        <v>1.2252649926407452E-2</v>
      </c>
      <c r="AA162">
        <f t="shared" si="43"/>
        <v>5.2585177095265223E-2</v>
      </c>
    </row>
    <row r="163" spans="8:27" x14ac:dyDescent="0.25">
      <c r="H163" s="15">
        <f t="shared" si="44"/>
        <v>1.5700000000000012</v>
      </c>
      <c r="I163" s="9">
        <f t="shared" si="37"/>
        <v>48.484678789292374</v>
      </c>
      <c r="J163">
        <f t="shared" si="51"/>
        <v>48.543396780914563</v>
      </c>
      <c r="K163">
        <f t="shared" si="54"/>
        <v>49.92670545623411</v>
      </c>
      <c r="M163" s="15">
        <f t="shared" si="45"/>
        <v>1.5700000000000012</v>
      </c>
      <c r="N163">
        <f t="shared" si="52"/>
        <v>1.194581537055112E-2</v>
      </c>
      <c r="O163">
        <f t="shared" si="38"/>
        <v>3.9326446024748052E-2</v>
      </c>
      <c r="P163">
        <f t="shared" si="46"/>
        <v>-1.5565182384739732E-2</v>
      </c>
      <c r="Q163">
        <f t="shared" si="47"/>
        <v>-0.10060811441097162</v>
      </c>
      <c r="R163">
        <f t="shared" si="39"/>
        <v>-2.9907424949961577E-2</v>
      </c>
      <c r="S163">
        <f t="shared" si="40"/>
        <v>1.7910101831226932E-4</v>
      </c>
      <c r="U163" s="15">
        <f t="shared" si="48"/>
        <v>1.5700000000000012</v>
      </c>
      <c r="V163">
        <f t="shared" si="53"/>
        <v>4.9952167844701254</v>
      </c>
      <c r="W163">
        <f t="shared" si="41"/>
        <v>4.783215529874596E-3</v>
      </c>
      <c r="X163">
        <f t="shared" si="49"/>
        <v>0.84904699702483499</v>
      </c>
      <c r="Y163">
        <f t="shared" si="50"/>
        <v>-1.2252649926391967E-2</v>
      </c>
      <c r="Z163">
        <f t="shared" si="42"/>
        <v>1.194581537055112E-2</v>
      </c>
      <c r="AA163">
        <f t="shared" si="43"/>
        <v>5.1272261395299168E-2</v>
      </c>
    </row>
    <row r="164" spans="8:27" x14ac:dyDescent="0.25">
      <c r="H164" s="15">
        <f t="shared" si="44"/>
        <v>1.5800000000000012</v>
      </c>
      <c r="I164" s="9">
        <f t="shared" si="37"/>
        <v>48.518052055204016</v>
      </c>
      <c r="J164">
        <f t="shared" si="51"/>
        <v>48.575835386268203</v>
      </c>
      <c r="K164">
        <f t="shared" si="54"/>
        <v>49.928337728323477</v>
      </c>
      <c r="M164" s="15">
        <f t="shared" si="45"/>
        <v>1.5800000000000012</v>
      </c>
      <c r="N164">
        <f t="shared" si="52"/>
        <v>1.1646741121051504E-2</v>
      </c>
      <c r="O164">
        <f t="shared" si="38"/>
        <v>3.8345439707681409E-2</v>
      </c>
      <c r="P164">
        <f t="shared" si="46"/>
        <v>-1.5176822956077585E-2</v>
      </c>
      <c r="Q164">
        <f t="shared" si="47"/>
        <v>-9.8100631706664332E-2</v>
      </c>
      <c r="R164">
        <f t="shared" si="39"/>
        <v>-2.9151740605040392E-2</v>
      </c>
      <c r="S164">
        <f t="shared" si="40"/>
        <v>1.7424168209174973E-4</v>
      </c>
      <c r="U164" s="15">
        <f t="shared" si="48"/>
        <v>1.5800000000000012</v>
      </c>
      <c r="V164">
        <f t="shared" si="53"/>
        <v>4.9953362426238312</v>
      </c>
      <c r="W164">
        <f t="shared" si="41"/>
        <v>4.6637573761687534E-3</v>
      </c>
      <c r="X164">
        <f t="shared" si="49"/>
        <v>0.84909423188936517</v>
      </c>
      <c r="Y164">
        <f t="shared" si="50"/>
        <v>-1.1945815370584256E-2</v>
      </c>
      <c r="Z164">
        <f t="shared" si="42"/>
        <v>1.1646741121051504E-2</v>
      </c>
      <c r="AA164">
        <f t="shared" si="43"/>
        <v>4.9992180828732913E-2</v>
      </c>
    </row>
    <row r="165" spans="8:27" x14ac:dyDescent="0.25">
      <c r="H165" s="15">
        <f t="shared" si="44"/>
        <v>1.5900000000000012</v>
      </c>
      <c r="I165" s="9">
        <f t="shared" si="37"/>
        <v>48.550690312016769</v>
      </c>
      <c r="J165">
        <f t="shared" si="51"/>
        <v>48.607551582730046</v>
      </c>
      <c r="K165">
        <f t="shared" si="54"/>
        <v>49.929933649655517</v>
      </c>
      <c r="M165" s="15">
        <f t="shared" si="45"/>
        <v>1.5900000000000012</v>
      </c>
      <c r="N165">
        <f t="shared" si="52"/>
        <v>1.1355223715001101E-2</v>
      </c>
      <c r="O165">
        <f t="shared" si="38"/>
        <v>3.7388885303978645E-2</v>
      </c>
      <c r="P165">
        <f t="shared" si="46"/>
        <v>-1.4798151331019284E-2</v>
      </c>
      <c r="Q165">
        <f t="shared" si="47"/>
        <v>-9.5655440370276401E-2</v>
      </c>
      <c r="R165">
        <f t="shared" si="39"/>
        <v>-2.8415802094395669E-2</v>
      </c>
      <c r="S165">
        <f t="shared" si="40"/>
        <v>1.695404508418874E-4</v>
      </c>
      <c r="U165" s="15">
        <f t="shared" si="48"/>
        <v>1.5900000000000012</v>
      </c>
      <c r="V165">
        <f t="shared" si="53"/>
        <v>4.9954527100350417</v>
      </c>
      <c r="W165">
        <f t="shared" si="41"/>
        <v>4.5472899649583454E-3</v>
      </c>
      <c r="X165">
        <f t="shared" si="49"/>
        <v>0.84914028712607081</v>
      </c>
      <c r="Y165">
        <f t="shared" si="50"/>
        <v>-1.1646741121040805E-2</v>
      </c>
      <c r="Z165">
        <f t="shared" si="42"/>
        <v>1.1355223715001101E-2</v>
      </c>
      <c r="AA165">
        <f t="shared" si="43"/>
        <v>4.8744109018979742E-2</v>
      </c>
    </row>
    <row r="166" spans="8:27" x14ac:dyDescent="0.25">
      <c r="H166" s="15">
        <f t="shared" si="44"/>
        <v>1.6000000000000012</v>
      </c>
      <c r="I166" s="9">
        <f t="shared" si="37"/>
        <v>48.582609747489322</v>
      </c>
      <c r="J166">
        <f t="shared" si="51"/>
        <v>48.63856145837174</v>
      </c>
      <c r="K166">
        <f t="shared" si="54"/>
        <v>49.931494029762888</v>
      </c>
      <c r="M166" s="15">
        <f t="shared" si="45"/>
        <v>1.6000000000000012</v>
      </c>
      <c r="N166">
        <f t="shared" si="52"/>
        <v>1.1071065694057145E-2</v>
      </c>
      <c r="O166">
        <f t="shared" si="38"/>
        <v>3.6456175182140609E-2</v>
      </c>
      <c r="P166">
        <f t="shared" si="46"/>
        <v>-1.4428926028588687E-2</v>
      </c>
      <c r="Q166">
        <f t="shared" si="47"/>
        <v>-9.3271012183803598E-2</v>
      </c>
      <c r="R166">
        <f t="shared" si="39"/>
        <v>-2.7699032718653087E-2</v>
      </c>
      <c r="S166">
        <f t="shared" si="40"/>
        <v>1.6498990050025503E-4</v>
      </c>
      <c r="U166" s="15">
        <f t="shared" si="48"/>
        <v>1.6000000000000012</v>
      </c>
      <c r="V166">
        <f t="shared" si="53"/>
        <v>4.9955662622721917</v>
      </c>
      <c r="W166">
        <f t="shared" si="41"/>
        <v>4.4337377278083068E-3</v>
      </c>
      <c r="X166">
        <f t="shared" si="49"/>
        <v>0.84918519226453459</v>
      </c>
      <c r="Y166">
        <f t="shared" si="50"/>
        <v>-1.1355223715003859E-2</v>
      </c>
      <c r="Z166">
        <f t="shared" si="42"/>
        <v>1.1071065694057145E-2</v>
      </c>
      <c r="AA166">
        <f t="shared" si="43"/>
        <v>4.7527240876197752E-2</v>
      </c>
    </row>
    <row r="167" spans="8:27" x14ac:dyDescent="0.25">
      <c r="H167" s="15">
        <f t="shared" si="44"/>
        <v>1.6100000000000012</v>
      </c>
      <c r="I167" s="9">
        <f t="shared" si="37"/>
        <v>48.61382619286298</v>
      </c>
      <c r="J167">
        <f t="shared" si="51"/>
        <v>48.668880742982992</v>
      </c>
      <c r="K167">
        <f t="shared" si="54"/>
        <v>49.933019660149924</v>
      </c>
      <c r="M167" s="15">
        <f t="shared" si="45"/>
        <v>1.6100000000000012</v>
      </c>
      <c r="N167">
        <f t="shared" si="52"/>
        <v>1.0794075366870614E-2</v>
      </c>
      <c r="O167">
        <f t="shared" si="38"/>
        <v>3.5546716636506756E-2</v>
      </c>
      <c r="P167">
        <f t="shared" si="46"/>
        <v>-1.4068911569495451E-2</v>
      </c>
      <c r="Q167">
        <f t="shared" si="47"/>
        <v>-9.0945854563385248E-2</v>
      </c>
      <c r="R167">
        <f t="shared" si="39"/>
        <v>-2.7000878087085699E-2</v>
      </c>
      <c r="S167">
        <f t="shared" si="40"/>
        <v>1.605831200975974E-4</v>
      </c>
      <c r="U167" s="15">
        <f t="shared" si="48"/>
        <v>1.6100000000000012</v>
      </c>
      <c r="V167">
        <f t="shared" si="53"/>
        <v>4.9956769729291324</v>
      </c>
      <c r="W167">
        <f t="shared" si="41"/>
        <v>4.3230270708676244E-3</v>
      </c>
      <c r="X167">
        <f t="shared" si="49"/>
        <v>0.84922897608852799</v>
      </c>
      <c r="Y167">
        <f t="shared" si="50"/>
        <v>-1.1071065694068238E-2</v>
      </c>
      <c r="Z167">
        <f t="shared" si="42"/>
        <v>1.0794075366870614E-2</v>
      </c>
      <c r="AA167">
        <f t="shared" si="43"/>
        <v>4.6340792003377373E-2</v>
      </c>
    </row>
    <row r="168" spans="8:27" x14ac:dyDescent="0.25">
      <c r="H168" s="15">
        <f t="shared" si="44"/>
        <v>1.6200000000000012</v>
      </c>
      <c r="I168" s="9">
        <f t="shared" si="37"/>
        <v>48.644355130713542</v>
      </c>
      <c r="J168">
        <f t="shared" si="51"/>
        <v>48.698524816050551</v>
      </c>
      <c r="K168">
        <f t="shared" si="54"/>
        <v>49.934511314694127</v>
      </c>
      <c r="M168" s="15">
        <f t="shared" si="45"/>
        <v>1.6200000000000012</v>
      </c>
      <c r="N168">
        <f t="shared" si="52"/>
        <v>1.0524066585999758E-2</v>
      </c>
      <c r="O168">
        <f t="shared" si="38"/>
        <v>3.4659931536958496E-2</v>
      </c>
      <c r="P168">
        <f t="shared" si="46"/>
        <v>-1.3717878328628124E-2</v>
      </c>
      <c r="Q168">
        <f t="shared" si="47"/>
        <v>-8.8678509954825957E-2</v>
      </c>
      <c r="R168">
        <f t="shared" si="39"/>
        <v>-2.6320804827795842E-2</v>
      </c>
      <c r="S168">
        <f t="shared" si="40"/>
        <v>1.5631366877189024E-4</v>
      </c>
      <c r="U168" s="15">
        <f t="shared" si="48"/>
        <v>1.6200000000000012</v>
      </c>
      <c r="V168">
        <f t="shared" si="53"/>
        <v>4.995784913682801</v>
      </c>
      <c r="W168">
        <f t="shared" si="41"/>
        <v>4.2150863171990238E-3</v>
      </c>
      <c r="X168">
        <f t="shared" si="49"/>
        <v>0.84927166665546827</v>
      </c>
      <c r="Y168">
        <f t="shared" si="50"/>
        <v>-1.0794075366860056E-2</v>
      </c>
      <c r="Z168">
        <f t="shared" si="42"/>
        <v>1.0524066585999758E-2</v>
      </c>
      <c r="AA168">
        <f t="shared" si="43"/>
        <v>4.5183998122958258E-2</v>
      </c>
    </row>
    <row r="169" spans="8:27" x14ac:dyDescent="0.25">
      <c r="H169" s="15">
        <f t="shared" si="44"/>
        <v>1.6300000000000012</v>
      </c>
      <c r="I169" s="9">
        <f t="shared" si="37"/>
        <v>48.674211702630267</v>
      </c>
      <c r="J169">
        <f t="shared" si="51"/>
        <v>48.727508714559441</v>
      </c>
      <c r="K169">
        <f t="shared" si="54"/>
        <v>49.935969750038723</v>
      </c>
      <c r="M169" s="15">
        <f t="shared" si="45"/>
        <v>1.6300000000000012</v>
      </c>
      <c r="N169">
        <f t="shared" si="52"/>
        <v>1.0260858537721799E-2</v>
      </c>
      <c r="O169">
        <f t="shared" si="38"/>
        <v>3.3795255985337114E-2</v>
      </c>
      <c r="P169">
        <f t="shared" si="46"/>
        <v>-1.3375602391016646E-2</v>
      </c>
      <c r="Q169">
        <f t="shared" si="47"/>
        <v>-8.6467555162138277E-2</v>
      </c>
      <c r="R169">
        <f t="shared" si="39"/>
        <v>-2.5658299386540205E-2</v>
      </c>
      <c r="S169">
        <f t="shared" si="40"/>
        <v>1.5217553603039113E-4</v>
      </c>
      <c r="U169" s="15">
        <f t="shared" si="48"/>
        <v>1.6300000000000012</v>
      </c>
      <c r="V169">
        <f t="shared" si="53"/>
        <v>4.9958901543486611</v>
      </c>
      <c r="W169">
        <f t="shared" si="41"/>
        <v>4.1098456513388726E-3</v>
      </c>
      <c r="X169">
        <f t="shared" si="49"/>
        <v>0.84931329131531097</v>
      </c>
      <c r="Y169">
        <f t="shared" si="50"/>
        <v>-1.0524066586015124E-2</v>
      </c>
      <c r="Z169">
        <f t="shared" si="42"/>
        <v>1.0260858537721799E-2</v>
      </c>
      <c r="AA169">
        <f t="shared" si="43"/>
        <v>4.4056114523058909E-2</v>
      </c>
    </row>
    <row r="170" spans="8:27" x14ac:dyDescent="0.25">
      <c r="H170" s="15">
        <f t="shared" si="44"/>
        <v>1.6400000000000012</v>
      </c>
      <c r="I170" s="9">
        <f t="shared" si="37"/>
        <v>48.70341071672577</v>
      </c>
      <c r="J170">
        <f t="shared" si="51"/>
        <v>48.755847140620503</v>
      </c>
      <c r="K170">
        <f t="shared" si="54"/>
        <v>49.937395705976463</v>
      </c>
      <c r="M170" s="15">
        <f t="shared" si="45"/>
        <v>1.6400000000000012</v>
      </c>
      <c r="N170">
        <f t="shared" si="52"/>
        <v>1.0004275543856397E-2</v>
      </c>
      <c r="O170">
        <f t="shared" si="38"/>
        <v>3.2952139978848063E-2</v>
      </c>
      <c r="P170">
        <f t="shared" si="46"/>
        <v>-1.3041865411195721E-2</v>
      </c>
      <c r="Q170">
        <f t="shared" si="47"/>
        <v>-8.4311600648905027E-2</v>
      </c>
      <c r="R170">
        <f t="shared" si="39"/>
        <v>-2.5012866903218665E-2</v>
      </c>
      <c r="S170">
        <f t="shared" si="40"/>
        <v>1.481631047715315E-4</v>
      </c>
      <c r="U170" s="15">
        <f t="shared" si="48"/>
        <v>1.6400000000000012</v>
      </c>
      <c r="V170">
        <f t="shared" si="53"/>
        <v>4.9959927629340379</v>
      </c>
      <c r="W170">
        <f t="shared" si="41"/>
        <v>4.007237065962066E-3</v>
      </c>
      <c r="X170">
        <f t="shared" si="49"/>
        <v>0.84935387672889751</v>
      </c>
      <c r="Y170">
        <f t="shared" si="50"/>
        <v>-1.0260858537680662E-2</v>
      </c>
      <c r="Z170">
        <f t="shared" si="42"/>
        <v>1.0004275543856397E-2</v>
      </c>
      <c r="AA170">
        <f t="shared" si="43"/>
        <v>4.2956415522704461E-2</v>
      </c>
    </row>
    <row r="171" spans="8:27" x14ac:dyDescent="0.25">
      <c r="H171" s="15">
        <f t="shared" si="44"/>
        <v>1.6500000000000012</v>
      </c>
      <c r="I171" s="9">
        <f t="shared" si="37"/>
        <v>48.73196665498039</v>
      </c>
      <c r="J171">
        <f t="shared" si="51"/>
        <v>48.783554468928045</v>
      </c>
      <c r="K171">
        <f t="shared" si="54"/>
        <v>49.938789905824898</v>
      </c>
      <c r="M171" s="15">
        <f t="shared" si="45"/>
        <v>1.6500000000000012</v>
      </c>
      <c r="N171">
        <f t="shared" si="52"/>
        <v>9.7541468748242113E-3</v>
      </c>
      <c r="O171">
        <f t="shared" si="38"/>
        <v>3.2130047079505307E-2</v>
      </c>
      <c r="P171">
        <f t="shared" si="46"/>
        <v>-1.2716454475903954E-2</v>
      </c>
      <c r="Q171">
        <f t="shared" si="47"/>
        <v>-8.2209289934275648E-2</v>
      </c>
      <c r="R171">
        <f t="shared" si="39"/>
        <v>-2.4384030215679652E-2</v>
      </c>
      <c r="S171">
        <f t="shared" si="40"/>
        <v>1.4427111985191449E-4</v>
      </c>
      <c r="U171" s="15">
        <f t="shared" si="48"/>
        <v>1.6500000000000012</v>
      </c>
      <c r="V171">
        <f t="shared" si="53"/>
        <v>4.9960928056894769</v>
      </c>
      <c r="W171">
        <f t="shared" si="41"/>
        <v>3.9071943105231099E-3</v>
      </c>
      <c r="X171">
        <f t="shared" si="49"/>
        <v>0.84939344888577994</v>
      </c>
      <c r="Y171">
        <f t="shared" si="50"/>
        <v>-1.0004275543895602E-2</v>
      </c>
      <c r="Z171">
        <f t="shared" si="42"/>
        <v>9.7541468748242113E-3</v>
      </c>
      <c r="AA171">
        <f t="shared" si="43"/>
        <v>4.1884193954329518E-2</v>
      </c>
    </row>
    <row r="172" spans="8:27" x14ac:dyDescent="0.25">
      <c r="H172" s="15">
        <f t="shared" si="44"/>
        <v>1.6600000000000013</v>
      </c>
      <c r="I172" s="9">
        <f t="shared" si="37"/>
        <v>48.759893680424987</v>
      </c>
      <c r="J172">
        <f t="shared" si="51"/>
        <v>48.810644754051417</v>
      </c>
      <c r="K172">
        <f t="shared" si="54"/>
        <v>49.94015305679325</v>
      </c>
      <c r="M172" s="15">
        <f t="shared" si="45"/>
        <v>1.6600000000000013</v>
      </c>
      <c r="N172">
        <f t="shared" si="52"/>
        <v>9.5103065726674148E-3</v>
      </c>
      <c r="O172">
        <f t="shared" si="38"/>
        <v>3.1328454091215506E-2</v>
      </c>
      <c r="P172">
        <f t="shared" si="46"/>
        <v>-1.239916197005035E-2</v>
      </c>
      <c r="Q172">
        <f t="shared" si="47"/>
        <v>-8.0159298828980097E-2</v>
      </c>
      <c r="R172">
        <f t="shared" si="39"/>
        <v>-2.3771328875697811E-2</v>
      </c>
      <c r="S172">
        <f t="shared" si="40"/>
        <v>1.4049465611053885E-4</v>
      </c>
      <c r="U172" s="15">
        <f t="shared" si="48"/>
        <v>1.6600000000000013</v>
      </c>
      <c r="V172">
        <f t="shared" si="53"/>
        <v>4.9961903471582252</v>
      </c>
      <c r="W172">
        <f t="shared" si="41"/>
        <v>3.8096528417748132E-3</v>
      </c>
      <c r="X172">
        <f t="shared" si="49"/>
        <v>0.84943203312154147</v>
      </c>
      <c r="Y172">
        <f t="shared" si="50"/>
        <v>-9.7541468748296722E-3</v>
      </c>
      <c r="Z172">
        <f t="shared" si="42"/>
        <v>9.5103065726674148E-3</v>
      </c>
      <c r="AA172">
        <f t="shared" si="43"/>
        <v>4.0838760663882923E-2</v>
      </c>
    </row>
    <row r="173" spans="8:27" x14ac:dyDescent="0.25">
      <c r="H173" s="15">
        <f>H172+$E$8</f>
        <v>1.6700000000000013</v>
      </c>
      <c r="I173" s="9">
        <f t="shared" si="37"/>
        <v>48.787205644165361</v>
      </c>
      <c r="J173">
        <f t="shared" si="51"/>
        <v>48.837131737564221</v>
      </c>
      <c r="K173">
        <f t="shared" si="54"/>
        <v>49.941485850341188</v>
      </c>
      <c r="M173" s="15">
        <f>M172+$E$8</f>
        <v>1.6700000000000013</v>
      </c>
      <c r="N173">
        <f t="shared" si="52"/>
        <v>9.2725932839104359E-3</v>
      </c>
      <c r="O173">
        <f t="shared" si="38"/>
        <v>3.0546850742339603E-2</v>
      </c>
      <c r="P173">
        <f t="shared" si="46"/>
        <v>-1.2089785445882574E-2</v>
      </c>
      <c r="Q173">
        <f t="shared" si="47"/>
        <v>-7.8160334887590263E-2</v>
      </c>
      <c r="R173">
        <f t="shared" si="39"/>
        <v>-2.3174318319996466E-2</v>
      </c>
      <c r="S173">
        <f t="shared" si="40"/>
        <v>1.3682909360956605E-4</v>
      </c>
      <c r="U173" s="15">
        <f>U172+$E$8</f>
        <v>1.6700000000000013</v>
      </c>
      <c r="V173">
        <f t="shared" si="53"/>
        <v>4.9962854502239518</v>
      </c>
      <c r="W173">
        <f t="shared" si="41"/>
        <v>3.7145497760482371E-3</v>
      </c>
      <c r="X173">
        <f t="shared" si="49"/>
        <v>0.8494696541346306</v>
      </c>
      <c r="Y173">
        <f t="shared" si="50"/>
        <v>-9.5103065726576119E-3</v>
      </c>
      <c r="Z173">
        <f t="shared" si="42"/>
        <v>9.2725932839104359E-3</v>
      </c>
      <c r="AA173">
        <f t="shared" si="43"/>
        <v>3.9819444026250039E-2</v>
      </c>
    </row>
    <row r="174" spans="8:27" x14ac:dyDescent="0.25">
      <c r="H174" s="15">
        <f t="shared" ref="H174:H237" si="55">H173+$E$8</f>
        <v>1.6800000000000013</v>
      </c>
      <c r="I174" s="9">
        <f t="shared" si="37"/>
        <v>48.81391609225215</v>
      </c>
      <c r="J174">
        <f t="shared" si="51"/>
        <v>48.863028855014718</v>
      </c>
      <c r="K174">
        <f t="shared" si="54"/>
        <v>49.942788962529541</v>
      </c>
      <c r="M174" s="15">
        <f t="shared" ref="M174:M237" si="56">M173+$E$8</f>
        <v>1.6800000000000013</v>
      </c>
      <c r="N174">
        <f t="shared" si="52"/>
        <v>9.0408501007104708E-3</v>
      </c>
      <c r="O174">
        <f t="shared" si="38"/>
        <v>2.9784739375868299E-2</v>
      </c>
      <c r="P174">
        <f t="shared" si="46"/>
        <v>-1.1788127495291534E-2</v>
      </c>
      <c r="Q174">
        <f t="shared" si="47"/>
        <v>-7.6211136647130404E-2</v>
      </c>
      <c r="R174">
        <f t="shared" si="39"/>
        <v>-2.2592569028688801E-2</v>
      </c>
      <c r="S174">
        <f t="shared" si="40"/>
        <v>1.332700911923744E-4</v>
      </c>
      <c r="U174" s="15">
        <f t="shared" ref="U174:U237" si="57">U173+$E$8</f>
        <v>1.6800000000000013</v>
      </c>
      <c r="V174">
        <f t="shared" si="53"/>
        <v>4.9963781761567905</v>
      </c>
      <c r="W174">
        <f t="shared" si="41"/>
        <v>3.6218238432095262E-3</v>
      </c>
      <c r="X174">
        <f t="shared" si="49"/>
        <v>0.84950633600272685</v>
      </c>
      <c r="Y174">
        <f t="shared" si="50"/>
        <v>-9.2725932838710889E-3</v>
      </c>
      <c r="Z174">
        <f t="shared" si="42"/>
        <v>9.0408501007104708E-3</v>
      </c>
      <c r="AA174">
        <f t="shared" si="43"/>
        <v>3.882558947657877E-2</v>
      </c>
    </row>
    <row r="175" spans="8:27" x14ac:dyDescent="0.25">
      <c r="H175" s="15">
        <f t="shared" si="55"/>
        <v>1.6900000000000013</v>
      </c>
      <c r="I175" s="9">
        <f t="shared" si="37"/>
        <v>48.840038272399219</v>
      </c>
      <c r="J175">
        <f t="shared" si="51"/>
        <v>48.888349242741043</v>
      </c>
      <c r="K175">
        <f t="shared" si="54"/>
        <v>49.944063054363241</v>
      </c>
      <c r="M175" s="15">
        <f t="shared" si="56"/>
        <v>1.6900000000000013</v>
      </c>
      <c r="N175">
        <f t="shared" si="52"/>
        <v>8.8149244104235823E-3</v>
      </c>
      <c r="O175">
        <f t="shared" si="38"/>
        <v>2.9041634645632645E-2</v>
      </c>
      <c r="P175">
        <f t="shared" si="46"/>
        <v>-1.1493995625184029E-2</v>
      </c>
      <c r="Q175">
        <f t="shared" si="47"/>
        <v>-7.4310473023565457E-2</v>
      </c>
      <c r="R175">
        <f t="shared" si="39"/>
        <v>-2.2025665791912966E-2</v>
      </c>
      <c r="S175">
        <f t="shared" si="40"/>
        <v>1.298135648905123E-4</v>
      </c>
      <c r="U175" s="15">
        <f t="shared" si="57"/>
        <v>1.6900000000000013</v>
      </c>
      <c r="V175">
        <f t="shared" si="53"/>
        <v>4.9964685846577979</v>
      </c>
      <c r="W175">
        <f t="shared" si="41"/>
        <v>3.5314153422021377E-3</v>
      </c>
      <c r="X175">
        <f t="shared" si="49"/>
        <v>0.84954210219865389</v>
      </c>
      <c r="Y175">
        <f t="shared" si="50"/>
        <v>-9.0408501007388509E-3</v>
      </c>
      <c r="Z175">
        <f t="shared" si="42"/>
        <v>8.8149244104235823E-3</v>
      </c>
      <c r="AA175">
        <f t="shared" si="43"/>
        <v>3.7856559056056227E-2</v>
      </c>
    </row>
    <row r="176" spans="8:27" x14ac:dyDescent="0.25">
      <c r="H176" s="15">
        <f t="shared" si="55"/>
        <v>1.7000000000000013</v>
      </c>
      <c r="I176" s="9">
        <f t="shared" si="37"/>
        <v>48.865585140554295</v>
      </c>
      <c r="J176">
        <f t="shared" si="51"/>
        <v>48.913105744534612</v>
      </c>
      <c r="K176">
        <f t="shared" si="54"/>
        <v>49.945308772126616</v>
      </c>
      <c r="M176" s="15">
        <f t="shared" si="56"/>
        <v>1.7000000000000013</v>
      </c>
      <c r="N176">
        <f t="shared" si="52"/>
        <v>8.5946677525044531E-3</v>
      </c>
      <c r="O176">
        <f t="shared" si="38"/>
        <v>2.8317063219469966E-2</v>
      </c>
      <c r="P176">
        <f t="shared" si="46"/>
        <v>-1.1207202135858517E-2</v>
      </c>
      <c r="Q176">
        <f t="shared" si="47"/>
        <v>-7.2457142616267831E-2</v>
      </c>
      <c r="R176">
        <f t="shared" si="39"/>
        <v>-2.1473206996206185E-2</v>
      </c>
      <c r="S176">
        <f t="shared" si="40"/>
        <v>1.2645566651533005E-4</v>
      </c>
      <c r="U176" s="15">
        <f t="shared" si="57"/>
        <v>1.7000000000000013</v>
      </c>
      <c r="V176">
        <f t="shared" si="53"/>
        <v>4.9965567339019019</v>
      </c>
      <c r="W176">
        <f t="shared" si="41"/>
        <v>3.4432660980980856E-3</v>
      </c>
      <c r="X176">
        <f t="shared" si="49"/>
        <v>0.84957697560585543</v>
      </c>
      <c r="Y176">
        <f t="shared" si="50"/>
        <v>-8.8149244104052116E-3</v>
      </c>
      <c r="Z176">
        <f t="shared" si="42"/>
        <v>8.5946677525044531E-3</v>
      </c>
      <c r="AA176">
        <f t="shared" si="43"/>
        <v>3.6911730971974421E-2</v>
      </c>
    </row>
    <row r="177" spans="8:27" x14ac:dyDescent="0.25">
      <c r="H177" s="15">
        <f t="shared" si="55"/>
        <v>1.7100000000000013</v>
      </c>
      <c r="I177" s="9">
        <f t="shared" si="37"/>
        <v>48.890569367324751</v>
      </c>
      <c r="J177">
        <f t="shared" si="51"/>
        <v>48.937310918155141</v>
      </c>
      <c r="K177">
        <f t="shared" si="54"/>
        <v>49.946526747711211</v>
      </c>
      <c r="M177" s="15">
        <f t="shared" si="56"/>
        <v>1.7100000000000013</v>
      </c>
      <c r="N177">
        <f t="shared" si="52"/>
        <v>8.3799356825423905E-3</v>
      </c>
      <c r="O177">
        <f t="shared" si="38"/>
        <v>2.7610563488075307E-2</v>
      </c>
      <c r="P177">
        <f t="shared" si="46"/>
        <v>-1.092756400232079E-2</v>
      </c>
      <c r="Q177">
        <f t="shared" si="47"/>
        <v>-7.0649973139465944E-2</v>
      </c>
      <c r="R177">
        <f t="shared" si="39"/>
        <v>-2.0934804011602255E-2</v>
      </c>
      <c r="S177">
        <f t="shared" si="40"/>
        <v>1.2319276684799596E-4</v>
      </c>
      <c r="U177" s="15">
        <f t="shared" si="57"/>
        <v>1.7100000000000013</v>
      </c>
      <c r="V177">
        <f t="shared" si="53"/>
        <v>4.9966426805794271</v>
      </c>
      <c r="W177">
        <f t="shared" si="41"/>
        <v>3.3573194205729351E-3</v>
      </c>
      <c r="X177">
        <f t="shared" si="49"/>
        <v>0.8496109785334488</v>
      </c>
      <c r="Y177">
        <f t="shared" si="50"/>
        <v>-8.5946677525150506E-3</v>
      </c>
      <c r="Z177">
        <f t="shared" si="42"/>
        <v>8.3799356825423905E-3</v>
      </c>
      <c r="AA177">
        <f t="shared" si="43"/>
        <v>3.5990499170617696E-2</v>
      </c>
    </row>
    <row r="178" spans="8:27" x14ac:dyDescent="0.25">
      <c r="H178" s="15">
        <f t="shared" si="55"/>
        <v>1.7200000000000013</v>
      </c>
      <c r="I178" s="9">
        <f t="shared" si="37"/>
        <v>48.915003344261891</v>
      </c>
      <c r="J178">
        <f t="shared" si="51"/>
        <v>48.960977041700602</v>
      </c>
      <c r="K178">
        <f t="shared" si="54"/>
        <v>49.947717598936336</v>
      </c>
      <c r="M178" s="15">
        <f t="shared" si="56"/>
        <v>1.7200000000000013</v>
      </c>
      <c r="N178">
        <f t="shared" si="52"/>
        <v>8.1705876424263673E-3</v>
      </c>
      <c r="O178">
        <f t="shared" si="38"/>
        <v>2.6921685281284496E-2</v>
      </c>
      <c r="P178">
        <f t="shared" si="46"/>
        <v>-1.0654902758473991E-2</v>
      </c>
      <c r="Q178">
        <f t="shared" si="47"/>
        <v>-6.8887820679081058E-2</v>
      </c>
      <c r="R178">
        <f t="shared" si="39"/>
        <v>-2.0410080551096665E-2</v>
      </c>
      <c r="S178">
        <f t="shared" si="40"/>
        <v>1.2002143659177456E-4</v>
      </c>
      <c r="U178" s="15">
        <f t="shared" si="57"/>
        <v>1.7200000000000013</v>
      </c>
      <c r="V178">
        <f t="shared" si="53"/>
        <v>4.9967264799362523</v>
      </c>
      <c r="W178">
        <f t="shared" si="41"/>
        <v>3.2735200637477035E-3</v>
      </c>
      <c r="X178">
        <f t="shared" si="49"/>
        <v>0.84964413273087036</v>
      </c>
      <c r="Y178">
        <f t="shared" si="50"/>
        <v>-8.3799356825231541E-3</v>
      </c>
      <c r="Z178">
        <f t="shared" si="42"/>
        <v>8.1705876424263673E-3</v>
      </c>
      <c r="AA178">
        <f t="shared" si="43"/>
        <v>3.5092272923710865E-2</v>
      </c>
    </row>
    <row r="179" spans="8:27" x14ac:dyDescent="0.25">
      <c r="H179" s="15">
        <f t="shared" si="55"/>
        <v>1.7300000000000013</v>
      </c>
      <c r="I179" s="9">
        <f t="shared" si="37"/>
        <v>48.938899190006879</v>
      </c>
      <c r="J179">
        <f t="shared" si="51"/>
        <v>48.984116119835285</v>
      </c>
      <c r="K179">
        <f t="shared" si="54"/>
        <v>49.948881929862438</v>
      </c>
      <c r="M179" s="15">
        <f t="shared" si="56"/>
        <v>1.7300000000000013</v>
      </c>
      <c r="N179">
        <f t="shared" si="52"/>
        <v>7.9664868369153999E-3</v>
      </c>
      <c r="O179">
        <f t="shared" si="38"/>
        <v>2.6249989589729204E-2</v>
      </c>
      <c r="P179">
        <f t="shared" si="46"/>
        <v>-1.0389044384118922E-2</v>
      </c>
      <c r="Q179">
        <f t="shared" si="47"/>
        <v>-6.7169569155529213E-2</v>
      </c>
      <c r="R179">
        <f t="shared" si="39"/>
        <v>-1.9898672143390275E-2</v>
      </c>
      <c r="S179">
        <f t="shared" si="40"/>
        <v>1.1693843269149767E-4</v>
      </c>
      <c r="U179" s="15">
        <f t="shared" si="57"/>
        <v>1.7300000000000013</v>
      </c>
      <c r="V179">
        <f t="shared" si="53"/>
        <v>4.9968081858126769</v>
      </c>
      <c r="W179">
        <f t="shared" si="41"/>
        <v>3.191814187323061E-3</v>
      </c>
      <c r="X179">
        <f t="shared" si="49"/>
        <v>0.84967645940212566</v>
      </c>
      <c r="Y179">
        <f t="shared" si="50"/>
        <v>-8.1705876424642554E-3</v>
      </c>
      <c r="Z179">
        <f t="shared" si="42"/>
        <v>7.9664868369153999E-3</v>
      </c>
      <c r="AA179">
        <f t="shared" si="43"/>
        <v>3.4216476426644604E-2</v>
      </c>
    </row>
    <row r="180" spans="8:27" x14ac:dyDescent="0.25">
      <c r="H180" s="15">
        <f t="shared" si="55"/>
        <v>1.7400000000000013</v>
      </c>
      <c r="I180" s="9">
        <f t="shared" si="37"/>
        <v>48.962268756301285</v>
      </c>
      <c r="J180">
        <f t="shared" si="51"/>
        <v>49.006739889879185</v>
      </c>
      <c r="K180">
        <f t="shared" si="54"/>
        <v>49.950020331097519</v>
      </c>
      <c r="M180" s="15">
        <f t="shared" si="56"/>
        <v>1.7400000000000013</v>
      </c>
      <c r="N180">
        <f t="shared" si="52"/>
        <v>7.7675001154814969E-3</v>
      </c>
      <c r="O180">
        <f t="shared" si="38"/>
        <v>2.559504829353304E-2</v>
      </c>
      <c r="P180">
        <f t="shared" si="46"/>
        <v>-1.0129819194702612E-2</v>
      </c>
      <c r="Q180">
        <f t="shared" si="47"/>
        <v>-6.5494129619616398E-2</v>
      </c>
      <c r="R180">
        <f t="shared" si="39"/>
        <v>-1.9400225580296609E-2</v>
      </c>
      <c r="S180">
        <f t="shared" si="40"/>
        <v>1.1394068264314328E-4</v>
      </c>
      <c r="U180" s="15">
        <f t="shared" si="57"/>
        <v>1.7400000000000013</v>
      </c>
      <c r="V180">
        <f t="shared" si="53"/>
        <v>4.9968878506810457</v>
      </c>
      <c r="W180">
        <f t="shared" si="41"/>
        <v>3.1121493189543159E-3</v>
      </c>
      <c r="X180">
        <f t="shared" si="49"/>
        <v>0.84970797921965702</v>
      </c>
      <c r="Y180">
        <f t="shared" si="50"/>
        <v>-7.966486836874509E-3</v>
      </c>
      <c r="Z180">
        <f t="shared" si="42"/>
        <v>7.7675001154814969E-3</v>
      </c>
      <c r="AA180">
        <f t="shared" si="43"/>
        <v>3.3362548409014536E-2</v>
      </c>
    </row>
    <row r="181" spans="8:27" x14ac:dyDescent="0.25">
      <c r="H181" s="15">
        <f t="shared" si="55"/>
        <v>1.7500000000000013</v>
      </c>
      <c r="I181" s="9">
        <f t="shared" si="37"/>
        <v>48.985123633865236</v>
      </c>
      <c r="J181">
        <f t="shared" si="51"/>
        <v>49.028859827761757</v>
      </c>
      <c r="K181">
        <f t="shared" si="54"/>
        <v>49.951133380096721</v>
      </c>
      <c r="M181" s="15">
        <f t="shared" si="56"/>
        <v>1.7500000000000013</v>
      </c>
      <c r="N181">
        <f t="shared" si="52"/>
        <v>7.5734978596785308E-3</v>
      </c>
      <c r="O181">
        <f t="shared" si="38"/>
        <v>2.4956443896186124E-2</v>
      </c>
      <c r="P181">
        <f t="shared" si="46"/>
        <v>-9.8770617337540154E-3</v>
      </c>
      <c r="Q181">
        <f t="shared" si="47"/>
        <v>-6.3860439734691674E-2</v>
      </c>
      <c r="R181">
        <f t="shared" si="39"/>
        <v>-1.891439846761293E-2</v>
      </c>
      <c r="S181">
        <f t="shared" si="40"/>
        <v>1.1102527374474633E-4</v>
      </c>
      <c r="U181" s="15">
        <f t="shared" si="57"/>
        <v>1.7500000000000013</v>
      </c>
      <c r="V181">
        <f t="shared" si="53"/>
        <v>4.9969655256822003</v>
      </c>
      <c r="W181">
        <f t="shared" si="41"/>
        <v>3.0344743177996847E-3</v>
      </c>
      <c r="X181">
        <f t="shared" si="49"/>
        <v>0.84973871233784082</v>
      </c>
      <c r="Y181">
        <f t="shared" si="50"/>
        <v>-7.7675001154631218E-3</v>
      </c>
      <c r="Z181">
        <f t="shared" si="42"/>
        <v>7.5734978596785308E-3</v>
      </c>
      <c r="AA181">
        <f t="shared" si="43"/>
        <v>3.2529941755864655E-2</v>
      </c>
    </row>
    <row r="182" spans="8:27" x14ac:dyDescent="0.25">
      <c r="H182" s="15">
        <f t="shared" si="55"/>
        <v>1.7600000000000013</v>
      </c>
      <c r="I182" s="9">
        <f t="shared" si="37"/>
        <v>49.007475158146107</v>
      </c>
      <c r="J182">
        <f t="shared" si="51"/>
        <v>49.050487153843108</v>
      </c>
      <c r="K182">
        <f t="shared" si="54"/>
        <v>49.952221641455232</v>
      </c>
      <c r="M182" s="15">
        <f t="shared" si="56"/>
        <v>1.7600000000000013</v>
      </c>
      <c r="N182">
        <f t="shared" si="52"/>
        <v>7.3843538750024019E-3</v>
      </c>
      <c r="O182">
        <f t="shared" si="38"/>
        <v>2.4333769265584795E-2</v>
      </c>
      <c r="P182">
        <f t="shared" si="46"/>
        <v>-9.6306106679451605E-3</v>
      </c>
      <c r="Q182">
        <f t="shared" si="47"/>
        <v>-6.2267463060132824E-2</v>
      </c>
      <c r="R182">
        <f t="shared" si="39"/>
        <v>-1.8440858727148745E-2</v>
      </c>
      <c r="S182">
        <f t="shared" si="40"/>
        <v>1.0818943915754178E-4</v>
      </c>
      <c r="U182" s="15">
        <f t="shared" si="57"/>
        <v>1.7600000000000013</v>
      </c>
      <c r="V182">
        <f t="shared" si="53"/>
        <v>4.9970412606607972</v>
      </c>
      <c r="W182">
        <f t="shared" si="41"/>
        <v>2.958739339202765E-3</v>
      </c>
      <c r="X182">
        <f t="shared" si="49"/>
        <v>0.8497686784061258</v>
      </c>
      <c r="Y182">
        <f t="shared" si="50"/>
        <v>-7.5734978596919689E-3</v>
      </c>
      <c r="Z182">
        <f t="shared" si="42"/>
        <v>7.3843538750024019E-3</v>
      </c>
      <c r="AA182">
        <f t="shared" si="43"/>
        <v>3.1718123140587196E-2</v>
      </c>
    </row>
    <row r="183" spans="8:27" x14ac:dyDescent="0.25">
      <c r="H183" s="15">
        <f t="shared" si="55"/>
        <v>1.7700000000000014</v>
      </c>
      <c r="I183" s="9">
        <f t="shared" si="37"/>
        <v>49.029334414940664</v>
      </c>
      <c r="J183">
        <f t="shared" si="51"/>
        <v>49.071632838605524</v>
      </c>
      <c r="K183">
        <f t="shared" si="54"/>
        <v>49.953285667194685</v>
      </c>
      <c r="M183" s="15">
        <f t="shared" si="56"/>
        <v>1.7700000000000014</v>
      </c>
      <c r="N183">
        <f t="shared" si="52"/>
        <v>7.1999452877309147E-3</v>
      </c>
      <c r="O183">
        <f t="shared" si="38"/>
        <v>2.3726627380177744E-2</v>
      </c>
      <c r="P183">
        <f t="shared" si="46"/>
        <v>-9.3903086847163478E-3</v>
      </c>
      <c r="Q183">
        <f t="shared" si="47"/>
        <v>-6.0714188540705177E-2</v>
      </c>
      <c r="R183">
        <f t="shared" si="39"/>
        <v>-1.7979284195925961E-2</v>
      </c>
      <c r="S183">
        <f t="shared" si="40"/>
        <v>1.0543054863330209E-4</v>
      </c>
      <c r="U183" s="15">
        <f t="shared" si="57"/>
        <v>1.7700000000000014</v>
      </c>
      <c r="V183">
        <f t="shared" si="53"/>
        <v>4.9971151041995476</v>
      </c>
      <c r="W183">
        <f t="shared" si="41"/>
        <v>2.8848958004523695E-3</v>
      </c>
      <c r="X183">
        <f t="shared" si="49"/>
        <v>0.84979789658182403</v>
      </c>
      <c r="Y183">
        <f t="shared" si="50"/>
        <v>-7.384353875039551E-3</v>
      </c>
      <c r="Z183">
        <f t="shared" si="42"/>
        <v>7.1999452877309147E-3</v>
      </c>
      <c r="AA183">
        <f t="shared" si="43"/>
        <v>3.0926572667908658E-2</v>
      </c>
    </row>
    <row r="184" spans="8:27" x14ac:dyDescent="0.25">
      <c r="H184" s="15">
        <f t="shared" si="55"/>
        <v>1.7800000000000014</v>
      </c>
      <c r="I184" s="9">
        <f t="shared" si="37"/>
        <v>49.050712245893301</v>
      </c>
      <c r="J184">
        <f t="shared" si="51"/>
        <v>49.092307608218256</v>
      </c>
      <c r="K184">
        <f t="shared" si="54"/>
        <v>49.954325997043178</v>
      </c>
      <c r="M184" s="15">
        <f t="shared" si="56"/>
        <v>1.7800000000000014</v>
      </c>
      <c r="N184">
        <f t="shared" si="52"/>
        <v>7.0201524457716548E-3</v>
      </c>
      <c r="O184">
        <f t="shared" si="38"/>
        <v>2.3134631081279156E-2</v>
      </c>
      <c r="P184">
        <f t="shared" si="46"/>
        <v>-9.1560023924090635E-3</v>
      </c>
      <c r="Q184">
        <f t="shared" si="47"/>
        <v>-5.9199629889858732E-2</v>
      </c>
      <c r="R184">
        <f t="shared" si="39"/>
        <v>-1.7529362218511778E-2</v>
      </c>
      <c r="S184">
        <f t="shared" si="40"/>
        <v>1.0274609838558865E-4</v>
      </c>
      <c r="U184" s="15">
        <f t="shared" si="57"/>
        <v>1.7800000000000014</v>
      </c>
      <c r="V184">
        <f t="shared" si="53"/>
        <v>4.9971871036524247</v>
      </c>
      <c r="W184">
        <f t="shared" si="41"/>
        <v>2.812896347575311E-3</v>
      </c>
      <c r="X184">
        <f t="shared" si="49"/>
        <v>0.84982638554256418</v>
      </c>
      <c r="Y184">
        <f t="shared" si="50"/>
        <v>-7.1999452877058445E-3</v>
      </c>
      <c r="Z184">
        <f t="shared" si="42"/>
        <v>7.0201524457716548E-3</v>
      </c>
      <c r="AA184">
        <f t="shared" si="43"/>
        <v>3.015478352705081E-2</v>
      </c>
    </row>
    <row r="185" spans="8:27" x14ac:dyDescent="0.25">
      <c r="H185" s="15">
        <f t="shared" si="55"/>
        <v>1.7900000000000014</v>
      </c>
      <c r="I185" s="9">
        <f t="shared" si="37"/>
        <v>49.071619253873259</v>
      </c>
      <c r="J185">
        <f t="shared" si="51"/>
        <v>49.112521949978394</v>
      </c>
      <c r="K185">
        <f t="shared" si="54"/>
        <v>49.955343158709049</v>
      </c>
      <c r="M185" s="15">
        <f t="shared" si="56"/>
        <v>1.7900000000000014</v>
      </c>
      <c r="N185">
        <f t="shared" si="52"/>
        <v>6.8448588235865372E-3</v>
      </c>
      <c r="O185">
        <f t="shared" si="38"/>
        <v>2.2557402830947208E-2</v>
      </c>
      <c r="P185">
        <f t="shared" si="46"/>
        <v>-8.9275422228479312E-3</v>
      </c>
      <c r="Q185">
        <f t="shared" si="47"/>
        <v>-5.7722825033194869E-2</v>
      </c>
      <c r="R185">
        <f t="shared" si="39"/>
        <v>-1.7090789280090609E-2</v>
      </c>
      <c r="S185">
        <f t="shared" si="40"/>
        <v>1.0013370267718952E-4</v>
      </c>
      <c r="U185" s="15">
        <f t="shared" si="57"/>
        <v>1.7900000000000014</v>
      </c>
      <c r="V185">
        <f t="shared" si="53"/>
        <v>4.9972573051768823</v>
      </c>
      <c r="W185">
        <f t="shared" si="41"/>
        <v>2.7426948231177306E-3</v>
      </c>
      <c r="X185">
        <f t="shared" si="49"/>
        <v>0.84985416349841769</v>
      </c>
      <c r="Y185">
        <f t="shared" si="50"/>
        <v>-7.0201524457580433E-3</v>
      </c>
      <c r="Z185">
        <f t="shared" si="42"/>
        <v>6.8448588235865372E-3</v>
      </c>
      <c r="AA185">
        <f t="shared" si="43"/>
        <v>2.9402261654533746E-2</v>
      </c>
    </row>
    <row r="186" spans="8:27" x14ac:dyDescent="0.25">
      <c r="H186" s="15">
        <f t="shared" si="55"/>
        <v>1.8000000000000014</v>
      </c>
      <c r="I186" s="9">
        <f t="shared" si="37"/>
        <v>49.09206580823335</v>
      </c>
      <c r="J186">
        <f t="shared" si="51"/>
        <v>49.132286117630549</v>
      </c>
      <c r="K186">
        <f t="shared" si="54"/>
        <v>49.956337668148542</v>
      </c>
      <c r="M186" s="15">
        <f t="shared" si="56"/>
        <v>1.8000000000000014</v>
      </c>
      <c r="N186">
        <f t="shared" si="52"/>
        <v>6.6739509307856314E-3</v>
      </c>
      <c r="O186">
        <f t="shared" si="38"/>
        <v>2.1994574476018349E-2</v>
      </c>
      <c r="P186">
        <f t="shared" si="46"/>
        <v>-8.7047823363131036E-3</v>
      </c>
      <c r="Q186">
        <f t="shared" si="47"/>
        <v>-5.6282835492885847E-2</v>
      </c>
      <c r="R186">
        <f t="shared" si="39"/>
        <v>-1.6663270630184048E-2</v>
      </c>
      <c r="S186">
        <f t="shared" si="40"/>
        <v>9.7591084457678001E-5</v>
      </c>
      <c r="U186" s="15">
        <f t="shared" si="57"/>
        <v>1.8000000000000014</v>
      </c>
      <c r="V186">
        <f t="shared" si="53"/>
        <v>4.9973257537651179</v>
      </c>
      <c r="W186">
        <f t="shared" si="41"/>
        <v>2.674246234882105E-3</v>
      </c>
      <c r="X186">
        <f t="shared" si="49"/>
        <v>0.8498812482037077</v>
      </c>
      <c r="Y186">
        <f t="shared" si="50"/>
        <v>-6.8448588235625607E-3</v>
      </c>
      <c r="Z186">
        <f t="shared" si="42"/>
        <v>6.6739509307856314E-3</v>
      </c>
      <c r="AA186">
        <f t="shared" si="43"/>
        <v>2.866852540680398E-2</v>
      </c>
    </row>
    <row r="187" spans="8:27" x14ac:dyDescent="0.25">
      <c r="H187" s="15">
        <f t="shared" si="55"/>
        <v>1.8100000000000014</v>
      </c>
      <c r="I187" s="9">
        <f t="shared" si="37"/>
        <v>49.112062049952918</v>
      </c>
      <c r="J187">
        <f t="shared" si="51"/>
        <v>49.151610136568067</v>
      </c>
      <c r="K187">
        <f t="shared" si="54"/>
        <v>49.957310029827546</v>
      </c>
      <c r="M187" s="15">
        <f t="shared" si="56"/>
        <v>1.8100000000000014</v>
      </c>
      <c r="N187">
        <f t="shared" si="52"/>
        <v>6.5073182244837907E-3</v>
      </c>
      <c r="O187">
        <f t="shared" si="38"/>
        <v>2.144578701703849E-2</v>
      </c>
      <c r="P187">
        <f t="shared" si="46"/>
        <v>-8.4875805288478195E-3</v>
      </c>
      <c r="Q187">
        <f t="shared" si="47"/>
        <v>-5.4878745897985956E-2</v>
      </c>
      <c r="R187">
        <f t="shared" si="39"/>
        <v>-1.6246519972695914E-2</v>
      </c>
      <c r="S187">
        <f t="shared" si="40"/>
        <v>9.5116069141979592E-5</v>
      </c>
      <c r="U187" s="15">
        <f t="shared" si="57"/>
        <v>1.8100000000000014</v>
      </c>
      <c r="V187">
        <f t="shared" si="53"/>
        <v>4.9973924932744254</v>
      </c>
      <c r="W187">
        <f t="shared" si="41"/>
        <v>2.6075067255746376E-3</v>
      </c>
      <c r="X187">
        <f t="shared" si="49"/>
        <v>0.84990765696851001</v>
      </c>
      <c r="Y187">
        <f t="shared" si="50"/>
        <v>-6.6739509307467415E-3</v>
      </c>
      <c r="Z187">
        <f t="shared" si="42"/>
        <v>6.5073182244837907E-3</v>
      </c>
      <c r="AA187">
        <f t="shared" si="43"/>
        <v>2.795310524152228E-2</v>
      </c>
    </row>
    <row r="188" spans="8:27" x14ac:dyDescent="0.25">
      <c r="H188" s="15">
        <f t="shared" si="55"/>
        <v>1.8200000000000014</v>
      </c>
      <c r="I188" s="9">
        <f t="shared" si="37"/>
        <v>49.1316178966675</v>
      </c>
      <c r="J188">
        <f t="shared" si="51"/>
        <v>49.17050380891844</v>
      </c>
      <c r="K188">
        <f t="shared" si="54"/>
        <v>49.958260736977465</v>
      </c>
      <c r="M188" s="15">
        <f t="shared" si="56"/>
        <v>1.8200000000000014</v>
      </c>
      <c r="N188">
        <f t="shared" si="52"/>
        <v>6.3448530247568313E-3</v>
      </c>
      <c r="O188">
        <f t="shared" si="38"/>
        <v>2.0910690382981781E-2</v>
      </c>
      <c r="P188">
        <f t="shared" si="46"/>
        <v>-8.2757981418477185E-3</v>
      </c>
      <c r="Q188">
        <f t="shared" si="47"/>
        <v>-5.3509663405670871E-2</v>
      </c>
      <c r="R188">
        <f t="shared" si="39"/>
        <v>-1.5840259143356756E-2</v>
      </c>
      <c r="S188">
        <f t="shared" si="40"/>
        <v>9.2706577331735929E-5</v>
      </c>
      <c r="U188" s="15">
        <f t="shared" si="57"/>
        <v>1.8200000000000014</v>
      </c>
      <c r="V188">
        <f t="shared" si="53"/>
        <v>4.9974575664566698</v>
      </c>
      <c r="W188">
        <f t="shared" si="41"/>
        <v>2.5424335433301692E-3</v>
      </c>
      <c r="X188">
        <f t="shared" si="49"/>
        <v>0.84993340666985451</v>
      </c>
      <c r="Y188">
        <f t="shared" si="50"/>
        <v>-6.5073182244468342E-3</v>
      </c>
      <c r="Z188">
        <f t="shared" si="42"/>
        <v>6.3448530247568313E-3</v>
      </c>
      <c r="AA188">
        <f t="shared" si="43"/>
        <v>2.7255543407738614E-2</v>
      </c>
    </row>
    <row r="189" spans="8:27" x14ac:dyDescent="0.25">
      <c r="H189" s="15">
        <f t="shared" si="55"/>
        <v>1.8300000000000014</v>
      </c>
      <c r="I189" s="9">
        <f t="shared" si="37"/>
        <v>49.150743047587738</v>
      </c>
      <c r="J189">
        <f t="shared" si="51"/>
        <v>49.188976718515427</v>
      </c>
      <c r="K189">
        <f t="shared" si="54"/>
        <v>49.959190271845436</v>
      </c>
      <c r="M189" s="15">
        <f t="shared" si="56"/>
        <v>1.8300000000000014</v>
      </c>
      <c r="N189">
        <f t="shared" si="52"/>
        <v>6.186450433323264E-3</v>
      </c>
      <c r="O189">
        <f t="shared" si="38"/>
        <v>2.0388943211291657E-2</v>
      </c>
      <c r="P189">
        <f t="shared" si="46"/>
        <v>-8.0692999738763514E-3</v>
      </c>
      <c r="Q189">
        <f t="shared" si="47"/>
        <v>-5.2174717169012341E-2</v>
      </c>
      <c r="R189">
        <f t="shared" si="39"/>
        <v>-1.5444217811912174E-2</v>
      </c>
      <c r="S189">
        <f t="shared" si="40"/>
        <v>9.0360618488563582E-5</v>
      </c>
      <c r="U189" s="15">
        <f t="shared" si="57"/>
        <v>1.8300000000000014</v>
      </c>
      <c r="V189">
        <f t="shared" si="53"/>
        <v>4.9975210149869174</v>
      </c>
      <c r="W189">
        <f t="shared" si="41"/>
        <v>2.4789850130826352E-3</v>
      </c>
      <c r="X189">
        <f t="shared" si="49"/>
        <v>0.84995851376263654</v>
      </c>
      <c r="Y189">
        <f t="shared" si="50"/>
        <v>-6.3448530247534052E-3</v>
      </c>
      <c r="Z189">
        <f t="shared" si="42"/>
        <v>6.186450433323264E-3</v>
      </c>
      <c r="AA189">
        <f t="shared" si="43"/>
        <v>2.657539364461492E-2</v>
      </c>
    </row>
    <row r="190" spans="8:27" x14ac:dyDescent="0.25">
      <c r="H190" s="15">
        <f t="shared" si="55"/>
        <v>1.8400000000000014</v>
      </c>
      <c r="I190" s="9">
        <f t="shared" si="37"/>
        <v>49.169446988309929</v>
      </c>
      <c r="J190">
        <f t="shared" si="51"/>
        <v>49.207038235760471</v>
      </c>
      <c r="K190">
        <f t="shared" si="54"/>
        <v>49.96009910593893</v>
      </c>
      <c r="M190" s="15">
        <f t="shared" si="56"/>
        <v>1.8400000000000014</v>
      </c>
      <c r="N190">
        <f t="shared" si="52"/>
        <v>6.0320082552041427E-3</v>
      </c>
      <c r="O190">
        <f t="shared" si="38"/>
        <v>1.988021263310788E-2</v>
      </c>
      <c r="P190">
        <f t="shared" si="46"/>
        <v>-7.8679541946543533E-3</v>
      </c>
      <c r="Q190">
        <f t="shared" si="47"/>
        <v>-5.0873057818377754E-2</v>
      </c>
      <c r="R190">
        <f t="shared" si="39"/>
        <v>-1.5058133202611238E-2</v>
      </c>
      <c r="S190">
        <f t="shared" si="40"/>
        <v>8.8076285239782615E-5</v>
      </c>
      <c r="U190" s="15">
        <f t="shared" si="57"/>
        <v>1.8400000000000014</v>
      </c>
      <c r="V190">
        <f t="shared" si="53"/>
        <v>4.9975828794912509</v>
      </c>
      <c r="W190">
        <f t="shared" si="41"/>
        <v>2.4171205087490932E-3</v>
      </c>
      <c r="X190">
        <f t="shared" si="49"/>
        <v>0.84998299429024571</v>
      </c>
      <c r="Y190">
        <f t="shared" si="50"/>
        <v>-6.1864504333541959E-3</v>
      </c>
      <c r="Z190">
        <f t="shared" si="42"/>
        <v>6.0320082552041427E-3</v>
      </c>
      <c r="AA190">
        <f t="shared" si="43"/>
        <v>2.5912220888312021E-2</v>
      </c>
    </row>
    <row r="191" spans="8:27" x14ac:dyDescent="0.25">
      <c r="H191" s="15">
        <f t="shared" si="55"/>
        <v>1.8500000000000014</v>
      </c>
      <c r="I191" s="9">
        <f t="shared" si="37"/>
        <v>49.187738995520668</v>
      </c>
      <c r="J191">
        <f t="shared" si="51"/>
        <v>49.224697522375841</v>
      </c>
      <c r="K191">
        <f t="shared" si="54"/>
        <v>49.960987700264923</v>
      </c>
      <c r="M191" s="15">
        <f t="shared" si="56"/>
        <v>1.8500000000000014</v>
      </c>
      <c r="N191">
        <f t="shared" si="52"/>
        <v>5.88142692317803E-3</v>
      </c>
      <c r="O191">
        <f t="shared" si="38"/>
        <v>1.9384174063589082E-2</v>
      </c>
      <c r="P191">
        <f t="shared" si="46"/>
        <v>-7.6716322611708682E-3</v>
      </c>
      <c r="Q191">
        <f t="shared" si="47"/>
        <v>-4.9603856951879743E-2</v>
      </c>
      <c r="R191">
        <f t="shared" si="39"/>
        <v>-1.4681749830343436E-2</v>
      </c>
      <c r="S191">
        <f t="shared" si="40"/>
        <v>8.5851748194976096E-5</v>
      </c>
      <c r="U191" s="15">
        <f t="shared" si="57"/>
        <v>1.8500000000000014</v>
      </c>
      <c r="V191">
        <f t="shared" si="53"/>
        <v>4.9976431995738029</v>
      </c>
      <c r="W191">
        <f t="shared" si="41"/>
        <v>2.3568004261971254E-3</v>
      </c>
      <c r="X191">
        <f t="shared" si="49"/>
        <v>0.85000686389492042</v>
      </c>
      <c r="Y191">
        <f t="shared" si="50"/>
        <v>-6.0320082551967857E-3</v>
      </c>
      <c r="Z191">
        <f t="shared" si="42"/>
        <v>5.88142692317803E-3</v>
      </c>
      <c r="AA191">
        <f t="shared" si="43"/>
        <v>2.5265600986767112E-2</v>
      </c>
    </row>
    <row r="192" spans="8:27" x14ac:dyDescent="0.25">
      <c r="H192" s="15">
        <f t="shared" si="55"/>
        <v>1.8600000000000014</v>
      </c>
      <c r="I192" s="9">
        <f t="shared" si="37"/>
        <v>49.205628141597813</v>
      </c>
      <c r="J192">
        <f t="shared" si="51"/>
        <v>49.241963536051919</v>
      </c>
      <c r="K192">
        <f t="shared" si="54"/>
        <v>49.961856505563759</v>
      </c>
      <c r="M192" s="15">
        <f t="shared" si="56"/>
        <v>1.8600000000000014</v>
      </c>
      <c r="N192">
        <f t="shared" si="52"/>
        <v>5.7346094248745955E-3</v>
      </c>
      <c r="O192">
        <f t="shared" si="38"/>
        <v>1.890051099712485E-2</v>
      </c>
      <c r="P192">
        <f t="shared" si="46"/>
        <v>-7.4802088358672985E-3</v>
      </c>
      <c r="Q192">
        <f t="shared" si="47"/>
        <v>-4.8366306646423218E-2</v>
      </c>
      <c r="R192">
        <f t="shared" si="39"/>
        <v>-1.4314819257197582E-2</v>
      </c>
      <c r="S192">
        <f t="shared" si="40"/>
        <v>8.3685251551023077E-5</v>
      </c>
      <c r="U192" s="15">
        <f t="shared" si="57"/>
        <v>1.8600000000000014</v>
      </c>
      <c r="V192">
        <f t="shared" si="53"/>
        <v>4.9977020138430346</v>
      </c>
      <c r="W192">
        <f t="shared" si="41"/>
        <v>2.2979861569654148E-3</v>
      </c>
      <c r="X192">
        <f t="shared" si="49"/>
        <v>0.85003013782783621</v>
      </c>
      <c r="Y192">
        <f t="shared" si="50"/>
        <v>-5.8814269231710625E-3</v>
      </c>
      <c r="Z192">
        <f t="shared" si="42"/>
        <v>5.7346094248745955E-3</v>
      </c>
      <c r="AA192">
        <f t="shared" si="43"/>
        <v>2.4635120421999446E-2</v>
      </c>
    </row>
    <row r="193" spans="8:27" x14ac:dyDescent="0.25">
      <c r="H193" s="15">
        <f t="shared" si="55"/>
        <v>1.8700000000000014</v>
      </c>
      <c r="I193" s="9">
        <f t="shared" si="37"/>
        <v>49.223123299110192</v>
      </c>
      <c r="J193">
        <f t="shared" si="51"/>
        <v>49.258845034991019</v>
      </c>
      <c r="K193">
        <f t="shared" si="54"/>
        <v>49.962705962537775</v>
      </c>
      <c r="M193" s="15">
        <f t="shared" si="56"/>
        <v>1.8700000000000014</v>
      </c>
      <c r="N193">
        <f t="shared" si="52"/>
        <v>5.5914612323026197E-3</v>
      </c>
      <c r="O193">
        <f t="shared" si="38"/>
        <v>1.8428914807884965E-2</v>
      </c>
      <c r="P193">
        <f t="shared" si="46"/>
        <v>-7.2935617068422493E-3</v>
      </c>
      <c r="Q193">
        <f t="shared" si="47"/>
        <v>-4.7159618923988539E-2</v>
      </c>
      <c r="R193">
        <f t="shared" si="39"/>
        <v>-1.3957099835700397E-2</v>
      </c>
      <c r="S193">
        <f t="shared" si="40"/>
        <v>8.1575107681204628E-5</v>
      </c>
      <c r="U193" s="15">
        <f t="shared" si="57"/>
        <v>1.8700000000000014</v>
      </c>
      <c r="V193">
        <f t="shared" si="53"/>
        <v>4.9977593599372829</v>
      </c>
      <c r="W193">
        <f t="shared" si="41"/>
        <v>2.2406400627170697E-3</v>
      </c>
      <c r="X193">
        <f t="shared" si="49"/>
        <v>0.85005283095893458</v>
      </c>
      <c r="Y193">
        <f t="shared" si="50"/>
        <v>-5.7346094248345025E-3</v>
      </c>
      <c r="Z193">
        <f t="shared" si="42"/>
        <v>5.5914612323026197E-3</v>
      </c>
      <c r="AA193">
        <f t="shared" si="43"/>
        <v>2.4020376040187585E-2</v>
      </c>
    </row>
    <row r="194" spans="8:27" x14ac:dyDescent="0.25">
      <c r="H194" s="15">
        <f t="shared" si="55"/>
        <v>1.8800000000000014</v>
      </c>
      <c r="I194" s="9">
        <f t="shared" si="37"/>
        <v>49.240233145218163</v>
      </c>
      <c r="J194">
        <f t="shared" si="51"/>
        <v>49.275350582349972</v>
      </c>
      <c r="K194">
        <f t="shared" si="54"/>
        <v>49.963536502074852</v>
      </c>
      <c r="M194" s="15">
        <f t="shared" si="56"/>
        <v>1.8800000000000014</v>
      </c>
      <c r="N194">
        <f t="shared" si="52"/>
        <v>5.4518902339456155E-3</v>
      </c>
      <c r="O194">
        <f t="shared" si="38"/>
        <v>1.7969084554611589E-2</v>
      </c>
      <c r="P194">
        <f t="shared" si="46"/>
        <v>-7.1115717100297664E-3</v>
      </c>
      <c r="Q194">
        <f t="shared" si="47"/>
        <v>-4.5983025327337584E-2</v>
      </c>
      <c r="R194">
        <f t="shared" si="39"/>
        <v>-1.3608356503426754E-2</v>
      </c>
      <c r="S194">
        <f t="shared" si="40"/>
        <v>7.951969419903171E-5</v>
      </c>
      <c r="U194" s="15">
        <f t="shared" si="57"/>
        <v>1.8800000000000014</v>
      </c>
      <c r="V194">
        <f t="shared" si="53"/>
        <v>4.9978152745496063</v>
      </c>
      <c r="W194">
        <f t="shared" si="41"/>
        <v>2.1847254503937208E-3</v>
      </c>
      <c r="X194">
        <f t="shared" si="49"/>
        <v>0.85007495778650011</v>
      </c>
      <c r="Y194">
        <f t="shared" si="50"/>
        <v>-5.5914612323348933E-3</v>
      </c>
      <c r="Z194">
        <f t="shared" si="42"/>
        <v>5.4518902339456155E-3</v>
      </c>
      <c r="AA194">
        <f t="shared" si="43"/>
        <v>2.3420974788557203E-2</v>
      </c>
    </row>
    <row r="195" spans="8:27" x14ac:dyDescent="0.25">
      <c r="H195" s="15">
        <f t="shared" si="55"/>
        <v>1.8900000000000015</v>
      </c>
      <c r="I195" s="9">
        <f t="shared" si="37"/>
        <v>49.256966165977268</v>
      </c>
      <c r="J195">
        <f t="shared" si="51"/>
        <v>49.2914885505838</v>
      </c>
      <c r="K195">
        <f t="shared" si="54"/>
        <v>49.964348545466976</v>
      </c>
      <c r="M195" s="15">
        <f t="shared" si="56"/>
        <v>1.8900000000000015</v>
      </c>
      <c r="N195">
        <f t="shared" si="52"/>
        <v>5.3158066689113484E-3</v>
      </c>
      <c r="O195">
        <f t="shared" si="38"/>
        <v>1.7520726790775598E-2</v>
      </c>
      <c r="P195">
        <f t="shared" si="46"/>
        <v>-6.9341226533028303E-3</v>
      </c>
      <c r="Q195">
        <f t="shared" si="47"/>
        <v>-4.4835776383599091E-2</v>
      </c>
      <c r="R195">
        <f t="shared" si="39"/>
        <v>-1.326836054117185E-2</v>
      </c>
      <c r="S195">
        <f t="shared" si="40"/>
        <v>7.7517448798948563E-5</v>
      </c>
      <c r="U195" s="15">
        <f t="shared" si="57"/>
        <v>1.8900000000000015</v>
      </c>
      <c r="V195">
        <f t="shared" si="53"/>
        <v>4.9978697934519456</v>
      </c>
      <c r="W195">
        <f t="shared" si="41"/>
        <v>2.130206548054403E-3</v>
      </c>
      <c r="X195">
        <f t="shared" si="49"/>
        <v>0.8500965324464923</v>
      </c>
      <c r="Y195">
        <f t="shared" si="50"/>
        <v>-5.4518902339317776E-3</v>
      </c>
      <c r="Z195">
        <f t="shared" si="42"/>
        <v>5.3158066689113484E-3</v>
      </c>
      <c r="AA195">
        <f t="shared" si="43"/>
        <v>2.2836533459686947E-2</v>
      </c>
    </row>
    <row r="196" spans="8:27" x14ac:dyDescent="0.25">
      <c r="H196" s="15">
        <f t="shared" si="55"/>
        <v>1.9000000000000015</v>
      </c>
      <c r="I196" s="9">
        <f t="shared" si="37"/>
        <v>49.27333066054711</v>
      </c>
      <c r="J196">
        <f t="shared" si="51"/>
        <v>49.307267125692661</v>
      </c>
      <c r="K196">
        <f t="shared" si="54"/>
        <v>49.965142504623955</v>
      </c>
      <c r="M196" s="15">
        <f t="shared" si="56"/>
        <v>1.9000000000000015</v>
      </c>
      <c r="N196">
        <f t="shared" si="52"/>
        <v>5.1831230634996296E-3</v>
      </c>
      <c r="O196">
        <f t="shared" si="38"/>
        <v>1.7083555378439561E-2</v>
      </c>
      <c r="P196">
        <f t="shared" si="46"/>
        <v>-6.7611012424567546E-3</v>
      </c>
      <c r="Q196">
        <f t="shared" si="47"/>
        <v>-4.3717141233603693E-2</v>
      </c>
      <c r="R196">
        <f t="shared" si="39"/>
        <v>-1.2936889403726861E-2</v>
      </c>
      <c r="S196">
        <f t="shared" si="40"/>
        <v>7.5566867740687466E-5</v>
      </c>
      <c r="U196" s="15">
        <f t="shared" si="57"/>
        <v>1.9000000000000015</v>
      </c>
      <c r="V196">
        <f t="shared" si="53"/>
        <v>4.9979229515186345</v>
      </c>
      <c r="W196">
        <f t="shared" si="41"/>
        <v>2.0770484813654733E-3</v>
      </c>
      <c r="X196">
        <f t="shared" si="49"/>
        <v>0.85011756872163935</v>
      </c>
      <c r="Y196">
        <f t="shared" si="50"/>
        <v>-5.315806668892975E-3</v>
      </c>
      <c r="Z196">
        <f t="shared" si="42"/>
        <v>5.1831230634996296E-3</v>
      </c>
      <c r="AA196">
        <f t="shared" si="43"/>
        <v>2.2266678441939192E-2</v>
      </c>
    </row>
    <row r="197" spans="8:27" x14ac:dyDescent="0.25">
      <c r="H197" s="15">
        <f t="shared" si="55"/>
        <v>1.9100000000000015</v>
      </c>
      <c r="I197" s="9">
        <f t="shared" si="37"/>
        <v>49.289334745307499</v>
      </c>
      <c r="J197">
        <f t="shared" si="51"/>
        <v>49.322694311374192</v>
      </c>
      <c r="K197">
        <f t="shared" si="54"/>
        <v>49.965918782282351</v>
      </c>
      <c r="M197" s="15">
        <f t="shared" si="56"/>
        <v>1.9100000000000015</v>
      </c>
      <c r="N197">
        <f t="shared" si="52"/>
        <v>5.0537541694623614E-3</v>
      </c>
      <c r="O197">
        <f t="shared" si="38"/>
        <v>1.6657291307580029E-2</v>
      </c>
      <c r="P197">
        <f t="shared" si="46"/>
        <v>-6.5923970090266569E-3</v>
      </c>
      <c r="Q197">
        <f t="shared" si="47"/>
        <v>-4.2626407085953263E-2</v>
      </c>
      <c r="R197">
        <f t="shared" si="39"/>
        <v>-1.26137264898394E-2</v>
      </c>
      <c r="S197">
        <f t="shared" si="40"/>
        <v>7.366650083276069E-5</v>
      </c>
      <c r="U197" s="15">
        <f t="shared" si="57"/>
        <v>1.9100000000000015</v>
      </c>
      <c r="V197">
        <f t="shared" si="53"/>
        <v>4.9979747827492691</v>
      </c>
      <c r="W197">
        <f t="shared" si="41"/>
        <v>2.0252172507309041E-3</v>
      </c>
      <c r="X197">
        <f t="shared" si="49"/>
        <v>0.85013808005029978</v>
      </c>
      <c r="Y197">
        <f t="shared" si="50"/>
        <v>-5.1831230634569181E-3</v>
      </c>
      <c r="Z197">
        <f t="shared" si="42"/>
        <v>5.0537541694623614E-3</v>
      </c>
      <c r="AA197">
        <f t="shared" si="43"/>
        <v>2.171104547704239E-2</v>
      </c>
    </row>
    <row r="198" spans="8:27" x14ac:dyDescent="0.25">
      <c r="H198" s="15">
        <f t="shared" si="55"/>
        <v>1.9200000000000015</v>
      </c>
      <c r="I198" s="9">
        <f t="shared" si="37"/>
        <v>49.304986357884047</v>
      </c>
      <c r="J198">
        <f t="shared" si="51"/>
        <v>49.337777933083409</v>
      </c>
      <c r="K198">
        <f t="shared" si="54"/>
        <v>49.966677772209756</v>
      </c>
      <c r="M198" s="15">
        <f t="shared" si="56"/>
        <v>1.9200000000000015</v>
      </c>
      <c r="N198">
        <f t="shared" si="52"/>
        <v>4.9276169045639672E-3</v>
      </c>
      <c r="O198">
        <f t="shared" si="38"/>
        <v>1.6241662519141976E-2</v>
      </c>
      <c r="P198">
        <f t="shared" si="46"/>
        <v>-6.4279022398930465E-3</v>
      </c>
      <c r="Q198">
        <f t="shared" si="47"/>
        <v>-4.1562878843805218E-2</v>
      </c>
      <c r="R198">
        <f t="shared" si="39"/>
        <v>-1.2298660976392836E-2</v>
      </c>
      <c r="S198">
        <f t="shared" si="40"/>
        <v>7.1814949619330992E-5</v>
      </c>
      <c r="U198" s="15">
        <f t="shared" si="57"/>
        <v>1.9200000000000015</v>
      </c>
      <c r="V198">
        <f t="shared" si="53"/>
        <v>4.9980253202909637</v>
      </c>
      <c r="W198">
        <f t="shared" si="41"/>
        <v>1.9746797090363089E-3</v>
      </c>
      <c r="X198">
        <f t="shared" si="49"/>
        <v>0.85015807953509859</v>
      </c>
      <c r="Y198">
        <f t="shared" si="50"/>
        <v>-5.0537541694595234E-3</v>
      </c>
      <c r="Z198">
        <f t="shared" si="42"/>
        <v>4.9276169045639672E-3</v>
      </c>
      <c r="AA198">
        <f t="shared" si="43"/>
        <v>2.1169279423705945E-2</v>
      </c>
    </row>
    <row r="199" spans="8:27" x14ac:dyDescent="0.25">
      <c r="H199" s="15">
        <f t="shared" si="55"/>
        <v>1.9300000000000015</v>
      </c>
      <c r="I199" s="9">
        <f t="shared" ref="I199:I262" si="58">DEGREES(-2*$E$5/$C$6*$C$9/$C$8*$C$18*(1-EXP(-$C$20*H199)))</f>
        <v>49.320293261084927</v>
      </c>
      <c r="J199">
        <f t="shared" si="51"/>
        <v>49.352525642002156</v>
      </c>
      <c r="K199">
        <f t="shared" si="54"/>
        <v>49.967419859404558</v>
      </c>
      <c r="M199" s="15">
        <f t="shared" si="56"/>
        <v>1.9300000000000015</v>
      </c>
      <c r="N199">
        <f t="shared" si="52"/>
        <v>4.8046302948000393E-3</v>
      </c>
      <c r="O199">
        <f t="shared" ref="O199:O262" si="59">AA199-N199</f>
        <v>1.5836403732808601E-2</v>
      </c>
      <c r="P199">
        <f t="shared" si="46"/>
        <v>-6.2675119086332935E-3</v>
      </c>
      <c r="Q199">
        <f t="shared" si="47"/>
        <v>-4.052587863333755E-2</v>
      </c>
      <c r="R199">
        <f t="shared" ref="R199:R262" si="60">DEGREES($E$6*$C$5*$C$6^2*$E$5/(4*$C$7)*$C$8*RADIANS(N199)+$E$6*$C$5*$C$6*$E$5^2/(2*$C$7)*$C$9*RADIANS(S199))</f>
        <v>-1.1991487625203946E-2</v>
      </c>
      <c r="S199">
        <f t="shared" ref="S199:S262" si="61">MAX(MIN($C$34*O199+$C$35*P199+$C$36*Q199,21.5),-21.5)</f>
        <v>7.0010863882644797E-5</v>
      </c>
      <c r="U199" s="15">
        <f t="shared" si="57"/>
        <v>1.9300000000000015</v>
      </c>
      <c r="V199">
        <f t="shared" si="53"/>
        <v>4.9980745964600093</v>
      </c>
      <c r="W199">
        <f t="shared" ref="W199:W262" si="62">$E$9-V199</f>
        <v>1.925403539990711E-3</v>
      </c>
      <c r="X199">
        <f t="shared" si="49"/>
        <v>0.85017757995134369</v>
      </c>
      <c r="Y199">
        <f t="shared" si="50"/>
        <v>-4.927616904559784E-3</v>
      </c>
      <c r="Z199">
        <f t="shared" ref="Z199:Z262" si="63">N199</f>
        <v>4.8046302948000393E-3</v>
      </c>
      <c r="AA199">
        <f t="shared" ref="AA199:AA262" si="64">$C$39*W199+$C$40*X199+$C$41*Y199</f>
        <v>2.064103402760864E-2</v>
      </c>
    </row>
    <row r="200" spans="8:27" x14ac:dyDescent="0.25">
      <c r="H200" s="15">
        <f t="shared" si="55"/>
        <v>1.9400000000000015</v>
      </c>
      <c r="I200" s="9">
        <f t="shared" si="58"/>
        <v>49.33526304675113</v>
      </c>
      <c r="J200">
        <f t="shared" si="51"/>
        <v>49.36694491892019</v>
      </c>
      <c r="K200">
        <f t="shared" si="54"/>
        <v>49.968145420291208</v>
      </c>
      <c r="M200" s="15">
        <f t="shared" si="56"/>
        <v>1.9400000000000015</v>
      </c>
      <c r="N200">
        <f t="shared" si="52"/>
        <v>4.684715418548E-3</v>
      </c>
      <c r="O200">
        <f t="shared" si="59"/>
        <v>1.5441256278580263E-2</v>
      </c>
      <c r="P200">
        <f t="shared" ref="P200:P263" si="65">IF(ABS(S199)&gt;21, P199, P199+(O200+O199)*$E$8/2)</f>
        <v>-6.1111236085763495E-3</v>
      </c>
      <c r="Q200">
        <f t="shared" ref="Q200:Q263" si="66">(O200-O199)/$E$8</f>
        <v>-3.9514745422833744E-2</v>
      </c>
      <c r="R200">
        <f t="shared" si="60"/>
        <v>-1.169200662740507E-2</v>
      </c>
      <c r="S200">
        <f t="shared" si="61"/>
        <v>6.8252939949556973E-5</v>
      </c>
      <c r="U200" s="15">
        <f t="shared" si="57"/>
        <v>1.9400000000000015</v>
      </c>
      <c r="V200">
        <f t="shared" si="53"/>
        <v>4.998122642762957</v>
      </c>
      <c r="W200">
        <f t="shared" si="62"/>
        <v>1.8773572370429648E-3</v>
      </c>
      <c r="X200">
        <f t="shared" ref="X200:X263" si="67">X199+(W200+W199)*$E$8/2</f>
        <v>0.85019659375522882</v>
      </c>
      <c r="Y200">
        <f t="shared" ref="Y200:Y263" si="68">(W200-W199)/$E$8</f>
        <v>-4.8046302947746256E-3</v>
      </c>
      <c r="Z200">
        <f t="shared" si="63"/>
        <v>4.684715418548E-3</v>
      </c>
      <c r="AA200">
        <f t="shared" si="64"/>
        <v>2.0125971697128264E-2</v>
      </c>
    </row>
    <row r="201" spans="8:27" x14ac:dyDescent="0.25">
      <c r="H201" s="15">
        <f t="shared" si="55"/>
        <v>1.9500000000000015</v>
      </c>
      <c r="I201" s="9">
        <f t="shared" si="58"/>
        <v>49.349903139521771</v>
      </c>
      <c r="J201">
        <f t="shared" ref="J201:J264" si="69">J200+$E$8*DEGREES($E$6*$C$5*$C$6^2*$E$5/(4*$C$7)*$C$8*RADIANS(J200) +$E$6*$C$5*$C$6*$E$5^2/(2*$C$7)*$C$9*$C$18)</f>
        <v>49.381043078029819</v>
      </c>
      <c r="K201">
        <f t="shared" si="54"/>
        <v>49.968854822911183</v>
      </c>
      <c r="M201" s="15">
        <f t="shared" si="56"/>
        <v>1.9500000000000015</v>
      </c>
      <c r="N201">
        <f t="shared" ref="N201:N264" si="70">N200+$E$8*R200</f>
        <v>4.5677953522739491E-3</v>
      </c>
      <c r="O201">
        <f t="shared" si="59"/>
        <v>1.5055967932756955E-2</v>
      </c>
      <c r="P201">
        <f t="shared" si="65"/>
        <v>-5.9586374875196637E-3</v>
      </c>
      <c r="Q201">
        <f t="shared" si="66"/>
        <v>-3.8528834582330848E-2</v>
      </c>
      <c r="R201">
        <f t="shared" si="60"/>
        <v>-1.1400023431177301E-2</v>
      </c>
      <c r="S201">
        <f t="shared" si="61"/>
        <v>6.653991790771599E-5</v>
      </c>
      <c r="U201" s="15">
        <f t="shared" si="57"/>
        <v>1.9500000000000015</v>
      </c>
      <c r="V201">
        <f t="shared" ref="V201:V264" si="71">V200+$E$8*Z200</f>
        <v>4.9981694899171423</v>
      </c>
      <c r="W201">
        <f t="shared" si="62"/>
        <v>1.8305100828577281E-3</v>
      </c>
      <c r="X201">
        <f t="shared" si="67"/>
        <v>0.85021513309182828</v>
      </c>
      <c r="Y201">
        <f t="shared" si="68"/>
        <v>-4.6847154185236661E-3</v>
      </c>
      <c r="Z201">
        <f t="shared" si="63"/>
        <v>4.5677953522739491E-3</v>
      </c>
      <c r="AA201">
        <f t="shared" si="64"/>
        <v>1.9623763285030904E-2</v>
      </c>
    </row>
    <row r="202" spans="8:27" x14ac:dyDescent="0.25">
      <c r="H202" s="15">
        <f t="shared" si="55"/>
        <v>1.9600000000000015</v>
      </c>
      <c r="I202" s="9">
        <f t="shared" si="58"/>
        <v>49.364220800516513</v>
      </c>
      <c r="J202">
        <f t="shared" si="69"/>
        <v>49.394827270636029</v>
      </c>
      <c r="K202">
        <f t="shared" si="54"/>
        <v>49.969548427109643</v>
      </c>
      <c r="M202" s="15">
        <f t="shared" si="56"/>
        <v>1.9600000000000015</v>
      </c>
      <c r="N202">
        <f t="shared" si="70"/>
        <v>4.4537951179621765E-3</v>
      </c>
      <c r="O202">
        <f t="shared" si="59"/>
        <v>1.4680292757921489E-2</v>
      </c>
      <c r="P202">
        <f t="shared" si="65"/>
        <v>-5.8099561840662716E-3</v>
      </c>
      <c r="Q202">
        <f t="shared" si="66"/>
        <v>-3.7567517483546621E-2</v>
      </c>
      <c r="R202">
        <f t="shared" si="60"/>
        <v>-1.1115348582582736E-2</v>
      </c>
      <c r="S202">
        <f t="shared" si="61"/>
        <v>6.4870579323845698E-5</v>
      </c>
      <c r="U202" s="15">
        <f t="shared" si="57"/>
        <v>1.9600000000000015</v>
      </c>
      <c r="V202">
        <f t="shared" si="71"/>
        <v>4.998215167870665</v>
      </c>
      <c r="W202">
        <f t="shared" si="62"/>
        <v>1.7848321293350011E-3</v>
      </c>
      <c r="X202">
        <f t="shared" si="67"/>
        <v>0.85023320980288919</v>
      </c>
      <c r="Y202">
        <f t="shared" si="68"/>
        <v>-4.5677953522726966E-3</v>
      </c>
      <c r="Z202">
        <f t="shared" si="63"/>
        <v>4.4537951179621765E-3</v>
      </c>
      <c r="AA202">
        <f t="shared" si="64"/>
        <v>1.9134087875883665E-2</v>
      </c>
    </row>
    <row r="203" spans="8:27" x14ac:dyDescent="0.25">
      <c r="H203" s="15">
        <f t="shared" si="55"/>
        <v>1.9700000000000015</v>
      </c>
      <c r="I203" s="9">
        <f t="shared" si="58"/>
        <v>49.378223130936966</v>
      </c>
      <c r="J203">
        <f t="shared" si="69"/>
        <v>49.408304488783983</v>
      </c>
      <c r="K203">
        <f t="shared" si="54"/>
        <v>49.970226584718006</v>
      </c>
      <c r="M203" s="15">
        <f t="shared" si="56"/>
        <v>1.9700000000000015</v>
      </c>
      <c r="N203">
        <f t="shared" si="70"/>
        <v>4.3426416321363489E-3</v>
      </c>
      <c r="O203">
        <f t="shared" si="59"/>
        <v>1.4313990946752484E-2</v>
      </c>
      <c r="P203">
        <f t="shared" si="65"/>
        <v>-5.6649847655429013E-3</v>
      </c>
      <c r="Q203">
        <f t="shared" si="66"/>
        <v>-3.6630181116900466E-2</v>
      </c>
      <c r="R203">
        <f t="shared" si="60"/>
        <v>-1.0837797577625263E-2</v>
      </c>
      <c r="S203">
        <f t="shared" si="61"/>
        <v>6.3243745378542895E-5</v>
      </c>
      <c r="U203" s="15">
        <f t="shared" si="57"/>
        <v>1.9700000000000015</v>
      </c>
      <c r="V203">
        <f t="shared" si="71"/>
        <v>4.9982597058218445</v>
      </c>
      <c r="W203">
        <f t="shared" si="62"/>
        <v>1.7402941781554659E-3</v>
      </c>
      <c r="X203">
        <f t="shared" si="67"/>
        <v>0.85025083543442659</v>
      </c>
      <c r="Y203">
        <f t="shared" si="68"/>
        <v>-4.4537951179535185E-3</v>
      </c>
      <c r="Z203">
        <f t="shared" si="63"/>
        <v>4.3426416321363489E-3</v>
      </c>
      <c r="AA203">
        <f t="shared" si="64"/>
        <v>1.8656632578888832E-2</v>
      </c>
    </row>
    <row r="204" spans="8:27" x14ac:dyDescent="0.25">
      <c r="H204" s="15">
        <f t="shared" si="55"/>
        <v>1.9800000000000015</v>
      </c>
      <c r="I204" s="9">
        <f t="shared" si="58"/>
        <v>49.391917075588644</v>
      </c>
      <c r="J204">
        <f t="shared" si="69"/>
        <v>49.421481568805753</v>
      </c>
      <c r="K204">
        <f t="shared" si="54"/>
        <v>49.970889639732377</v>
      </c>
      <c r="M204" s="15">
        <f t="shared" si="56"/>
        <v>1.9800000000000015</v>
      </c>
      <c r="N204">
        <f t="shared" si="70"/>
        <v>4.2342636563600959E-3</v>
      </c>
      <c r="O204">
        <f t="shared" si="59"/>
        <v>1.3956828669566209E-2</v>
      </c>
      <c r="P204">
        <f t="shared" si="65"/>
        <v>-5.5236306674613074E-3</v>
      </c>
      <c r="Q204">
        <f t="shared" si="66"/>
        <v>-3.5716227718627508E-2</v>
      </c>
      <c r="R204">
        <f t="shared" si="60"/>
        <v>-1.056719072423468E-2</v>
      </c>
      <c r="S204">
        <f t="shared" si="61"/>
        <v>6.1658275360393366E-5</v>
      </c>
      <c r="U204" s="15">
        <f t="shared" si="57"/>
        <v>1.9800000000000015</v>
      </c>
      <c r="V204">
        <f t="shared" si="71"/>
        <v>4.9983031322381661</v>
      </c>
      <c r="W204">
        <f t="shared" si="62"/>
        <v>1.6968677618338646E-3</v>
      </c>
      <c r="X204">
        <f t="shared" si="67"/>
        <v>0.85026802124412648</v>
      </c>
      <c r="Y204">
        <f t="shared" si="68"/>
        <v>-4.342641632160138E-3</v>
      </c>
      <c r="Z204">
        <f t="shared" si="63"/>
        <v>4.2342636563600959E-3</v>
      </c>
      <c r="AA204">
        <f t="shared" si="64"/>
        <v>1.8191092325926306E-2</v>
      </c>
    </row>
    <row r="205" spans="8:27" x14ac:dyDescent="0.25">
      <c r="H205" s="15">
        <f t="shared" si="55"/>
        <v>1.9900000000000015</v>
      </c>
      <c r="I205" s="9">
        <f t="shared" si="58"/>
        <v>49.405309426325445</v>
      </c>
      <c r="J205">
        <f t="shared" si="69"/>
        <v>49.434365194788057</v>
      </c>
      <c r="K205">
        <f t="shared" si="54"/>
        <v>49.971537928488061</v>
      </c>
      <c r="M205" s="15">
        <f t="shared" si="56"/>
        <v>1.9900000000000015</v>
      </c>
      <c r="N205">
        <f t="shared" si="70"/>
        <v>4.1285917491177488E-3</v>
      </c>
      <c r="O205">
        <f t="shared" si="59"/>
        <v>1.3608577925969013E-2</v>
      </c>
      <c r="P205">
        <f t="shared" si="65"/>
        <v>-5.3858036344836312E-3</v>
      </c>
      <c r="Q205">
        <f t="shared" si="66"/>
        <v>-3.4825074359719557E-2</v>
      </c>
      <c r="R205">
        <f t="shared" si="60"/>
        <v>-1.0303352987349594E-2</v>
      </c>
      <c r="S205">
        <f t="shared" si="61"/>
        <v>6.0113064077323836E-5</v>
      </c>
      <c r="U205" s="15">
        <f t="shared" si="57"/>
        <v>1.9900000000000015</v>
      </c>
      <c r="V205">
        <f t="shared" si="71"/>
        <v>4.9983454748747294</v>
      </c>
      <c r="W205">
        <f t="shared" si="62"/>
        <v>1.654525125270645E-3</v>
      </c>
      <c r="X205">
        <f t="shared" si="67"/>
        <v>0.85028477820856196</v>
      </c>
      <c r="Y205">
        <f t="shared" si="68"/>
        <v>-4.2342636563219571E-3</v>
      </c>
      <c r="Z205">
        <f t="shared" si="63"/>
        <v>4.1285917491177488E-3</v>
      </c>
      <c r="AA205">
        <f t="shared" si="64"/>
        <v>1.7737169675086761E-2</v>
      </c>
    </row>
    <row r="206" spans="8:27" x14ac:dyDescent="0.25">
      <c r="H206" s="15">
        <f t="shared" si="55"/>
        <v>2.0000000000000013</v>
      </c>
      <c r="I206" s="9">
        <f t="shared" si="58"/>
        <v>49.418406825418216</v>
      </c>
      <c r="J206">
        <f t="shared" si="69"/>
        <v>49.446961901962766</v>
      </c>
      <c r="K206">
        <f t="shared" si="54"/>
        <v>49.972171779830163</v>
      </c>
      <c r="M206" s="15">
        <f t="shared" si="56"/>
        <v>2.0000000000000013</v>
      </c>
      <c r="N206">
        <f t="shared" si="70"/>
        <v>4.0255582192442532E-3</v>
      </c>
      <c r="O206">
        <f t="shared" si="59"/>
        <v>1.3269016399563092E-2</v>
      </c>
      <c r="P206">
        <f t="shared" si="65"/>
        <v>-5.2514156628559704E-3</v>
      </c>
      <c r="Q206">
        <f t="shared" si="66"/>
        <v>-3.3956152640592097E-2</v>
      </c>
      <c r="R206">
        <f t="shared" si="60"/>
        <v>-1.0046113879726374E-2</v>
      </c>
      <c r="S206">
        <f t="shared" si="61"/>
        <v>5.8607041559587819E-5</v>
      </c>
      <c r="U206" s="15">
        <f t="shared" si="57"/>
        <v>2.0000000000000013</v>
      </c>
      <c r="V206">
        <f t="shared" si="71"/>
        <v>4.9983867607922203</v>
      </c>
      <c r="W206">
        <f t="shared" si="62"/>
        <v>1.6132392077796709E-3</v>
      </c>
      <c r="X206">
        <f t="shared" si="67"/>
        <v>0.85030111703022726</v>
      </c>
      <c r="Y206">
        <f t="shared" si="68"/>
        <v>-4.12859174909741E-3</v>
      </c>
      <c r="Z206">
        <f t="shared" si="63"/>
        <v>4.0255582192442532E-3</v>
      </c>
      <c r="AA206">
        <f t="shared" si="64"/>
        <v>1.7294574618807346E-2</v>
      </c>
    </row>
    <row r="207" spans="8:27" x14ac:dyDescent="0.25">
      <c r="H207" s="15">
        <f t="shared" si="55"/>
        <v>2.0100000000000011</v>
      </c>
      <c r="I207" s="9">
        <f t="shared" si="58"/>
        <v>49.431215768849199</v>
      </c>
      <c r="J207">
        <f t="shared" si="69"/>
        <v>49.459278080021896</v>
      </c>
      <c r="K207">
        <f t="shared" si="54"/>
        <v>49.972791515280392</v>
      </c>
      <c r="M207" s="15">
        <f t="shared" si="56"/>
        <v>2.0100000000000011</v>
      </c>
      <c r="N207">
        <f t="shared" si="70"/>
        <v>3.9250970804469891E-3</v>
      </c>
      <c r="O207">
        <f t="shared" si="59"/>
        <v>1.2937927316997815E-2</v>
      </c>
      <c r="P207">
        <f t="shared" si="65"/>
        <v>-5.1203809442731656E-3</v>
      </c>
      <c r="Q207">
        <f t="shared" si="66"/>
        <v>-3.3108908256527722E-2</v>
      </c>
      <c r="R207">
        <f t="shared" si="60"/>
        <v>-9.7953073030222632E-3</v>
      </c>
      <c r="S207">
        <f t="shared" si="61"/>
        <v>5.7139169935476603E-5</v>
      </c>
      <c r="U207" s="15">
        <f t="shared" si="57"/>
        <v>2.0100000000000011</v>
      </c>
      <c r="V207">
        <f t="shared" si="71"/>
        <v>4.9984270163744124</v>
      </c>
      <c r="W207">
        <f t="shared" si="62"/>
        <v>1.572983625587554E-3</v>
      </c>
      <c r="X207">
        <f t="shared" si="67"/>
        <v>0.85031704814439413</v>
      </c>
      <c r="Y207">
        <f t="shared" si="68"/>
        <v>-4.025558219211689E-3</v>
      </c>
      <c r="Z207">
        <f t="shared" si="63"/>
        <v>3.9250970804469891E-3</v>
      </c>
      <c r="AA207">
        <f t="shared" si="64"/>
        <v>1.6863024397444804E-2</v>
      </c>
    </row>
    <row r="208" spans="8:27" x14ac:dyDescent="0.25">
      <c r="H208" s="15">
        <f t="shared" si="55"/>
        <v>2.0200000000000009</v>
      </c>
      <c r="I208" s="9">
        <f t="shared" si="58"/>
        <v>49.443742609533807</v>
      </c>
      <c r="J208">
        <f t="shared" si="69"/>
        <v>49.471319976358807</v>
      </c>
      <c r="K208">
        <f t="shared" si="54"/>
        <v>49.973397449200164</v>
      </c>
      <c r="M208" s="15">
        <f t="shared" si="56"/>
        <v>2.0200000000000009</v>
      </c>
      <c r="N208">
        <f t="shared" si="70"/>
        <v>3.8271440074167666E-3</v>
      </c>
      <c r="O208">
        <f t="shared" si="59"/>
        <v>1.2615099309769701E-2</v>
      </c>
      <c r="P208">
        <f t="shared" si="65"/>
        <v>-4.9926158111393282E-3</v>
      </c>
      <c r="Q208">
        <f t="shared" si="66"/>
        <v>-3.2282800722811464E-2</v>
      </c>
      <c r="R208">
        <f t="shared" si="60"/>
        <v>-9.550771449206439E-3</v>
      </c>
      <c r="S208">
        <f t="shared" si="61"/>
        <v>5.5708443385354273E-5</v>
      </c>
      <c r="U208" s="15">
        <f t="shared" si="57"/>
        <v>2.0200000000000009</v>
      </c>
      <c r="V208">
        <f t="shared" si="71"/>
        <v>4.9984662673452167</v>
      </c>
      <c r="W208">
        <f t="shared" si="62"/>
        <v>1.533732654783293E-3</v>
      </c>
      <c r="X208">
        <f t="shared" si="67"/>
        <v>0.85033258172579596</v>
      </c>
      <c r="Y208">
        <f t="shared" si="68"/>
        <v>-3.9250970804260987E-3</v>
      </c>
      <c r="Z208">
        <f t="shared" si="63"/>
        <v>3.8271440074167666E-3</v>
      </c>
      <c r="AA208">
        <f t="shared" si="64"/>
        <v>1.6442243317186467E-2</v>
      </c>
    </row>
    <row r="209" spans="8:27" x14ac:dyDescent="0.25">
      <c r="H209" s="15">
        <f t="shared" si="55"/>
        <v>2.0300000000000007</v>
      </c>
      <c r="I209" s="9">
        <f t="shared" si="58"/>
        <v>49.455993560471576</v>
      </c>
      <c r="J209">
        <f t="shared" si="69"/>
        <v>49.483093699237173</v>
      </c>
      <c r="K209">
        <f t="shared" si="54"/>
        <v>49.973989888950051</v>
      </c>
      <c r="M209" s="15">
        <f t="shared" si="56"/>
        <v>2.0300000000000007</v>
      </c>
      <c r="N209">
        <f t="shared" si="70"/>
        <v>3.7316362929247023E-3</v>
      </c>
      <c r="O209">
        <f t="shared" si="59"/>
        <v>1.2300326279889549E-2</v>
      </c>
      <c r="P209">
        <f t="shared" si="65"/>
        <v>-4.8680386831910323E-3</v>
      </c>
      <c r="Q209">
        <f t="shared" si="66"/>
        <v>-3.1477302988015127E-2</v>
      </c>
      <c r="R209">
        <f t="shared" si="60"/>
        <v>-9.3123486665424096E-3</v>
      </c>
      <c r="S209">
        <f t="shared" si="61"/>
        <v>5.4313886056214788E-5</v>
      </c>
      <c r="U209" s="15">
        <f t="shared" si="57"/>
        <v>2.0300000000000007</v>
      </c>
      <c r="V209">
        <f t="shared" si="71"/>
        <v>4.9985045387852907</v>
      </c>
      <c r="W209">
        <f t="shared" si="62"/>
        <v>1.4954612147093371E-3</v>
      </c>
      <c r="X209">
        <f t="shared" si="67"/>
        <v>0.85034772769514344</v>
      </c>
      <c r="Y209">
        <f t="shared" si="68"/>
        <v>-3.8271440073955887E-3</v>
      </c>
      <c r="Z209">
        <f t="shared" si="63"/>
        <v>3.7316362929247023E-3</v>
      </c>
      <c r="AA209">
        <f t="shared" si="64"/>
        <v>1.6031962572814251E-2</v>
      </c>
    </row>
    <row r="210" spans="8:27" x14ac:dyDescent="0.25">
      <c r="H210" s="15">
        <f t="shared" si="55"/>
        <v>2.0400000000000005</v>
      </c>
      <c r="I210" s="9">
        <f t="shared" si="58"/>
        <v>49.467974697827621</v>
      </c>
      <c r="J210">
        <f t="shared" si="69"/>
        <v>49.494605220889433</v>
      </c>
      <c r="K210">
        <f t="shared" si="54"/>
        <v>49.974569135045691</v>
      </c>
      <c r="M210" s="15">
        <f t="shared" si="56"/>
        <v>2.0400000000000005</v>
      </c>
      <c r="N210">
        <f t="shared" si="70"/>
        <v>3.6385128062592781E-3</v>
      </c>
      <c r="O210">
        <f t="shared" si="59"/>
        <v>1.1993407268625397E-2</v>
      </c>
      <c r="P210">
        <f t="shared" si="65"/>
        <v>-4.7465700154484579E-3</v>
      </c>
      <c r="Q210">
        <f t="shared" si="66"/>
        <v>-3.0691901126415205E-2</v>
      </c>
      <c r="R210">
        <f t="shared" si="60"/>
        <v>-9.0798853521574675E-3</v>
      </c>
      <c r="S210">
        <f t="shared" si="61"/>
        <v>5.2954551255646187E-5</v>
      </c>
      <c r="U210" s="15">
        <f t="shared" si="57"/>
        <v>2.0400000000000005</v>
      </c>
      <c r="V210">
        <f t="shared" si="71"/>
        <v>4.9985418551482201</v>
      </c>
      <c r="W210">
        <f t="shared" si="62"/>
        <v>1.4581448517798634E-3</v>
      </c>
      <c r="X210">
        <f t="shared" si="67"/>
        <v>0.85036249572547584</v>
      </c>
      <c r="Y210">
        <f t="shared" si="68"/>
        <v>-3.7316362929473712E-3</v>
      </c>
      <c r="Z210">
        <f t="shared" si="63"/>
        <v>3.6385128062592781E-3</v>
      </c>
      <c r="AA210">
        <f t="shared" si="64"/>
        <v>1.5631920074884675E-2</v>
      </c>
    </row>
    <row r="211" spans="8:27" x14ac:dyDescent="0.25">
      <c r="H211" s="15">
        <f t="shared" si="55"/>
        <v>2.0500000000000003</v>
      </c>
      <c r="I211" s="9">
        <f t="shared" si="58"/>
        <v>49.479691963946287</v>
      </c>
      <c r="J211">
        <f t="shared" si="69"/>
        <v>49.505860380546196</v>
      </c>
      <c r="K211">
        <f t="shared" si="54"/>
        <v>49.97513548131024</v>
      </c>
      <c r="M211" s="15">
        <f t="shared" si="56"/>
        <v>2.0500000000000003</v>
      </c>
      <c r="N211">
        <f t="shared" si="70"/>
        <v>3.5477139527377035E-3</v>
      </c>
      <c r="O211">
        <f t="shared" si="59"/>
        <v>1.1694146328747072E-2</v>
      </c>
      <c r="P211">
        <f t="shared" si="65"/>
        <v>-4.6281322474615956E-3</v>
      </c>
      <c r="Q211">
        <f t="shared" si="66"/>
        <v>-2.9926093987832532E-2</v>
      </c>
      <c r="R211">
        <f t="shared" si="60"/>
        <v>-8.8532318294119762E-3</v>
      </c>
      <c r="S211">
        <f t="shared" si="61"/>
        <v>5.162951969216005E-5</v>
      </c>
      <c r="U211" s="15">
        <f t="shared" si="57"/>
        <v>2.0500000000000003</v>
      </c>
      <c r="V211">
        <f t="shared" si="71"/>
        <v>4.9985782402762826</v>
      </c>
      <c r="W211">
        <f t="shared" si="62"/>
        <v>1.4217597237173862E-3</v>
      </c>
      <c r="X211">
        <f t="shared" si="67"/>
        <v>0.85037689524835336</v>
      </c>
      <c r="Y211">
        <f t="shared" si="68"/>
        <v>-3.6385128062477179E-3</v>
      </c>
      <c r="Z211">
        <f t="shared" si="63"/>
        <v>3.5477139527377035E-3</v>
      </c>
      <c r="AA211">
        <f t="shared" si="64"/>
        <v>1.5241860281484776E-2</v>
      </c>
    </row>
    <row r="212" spans="8:27" x14ac:dyDescent="0.25">
      <c r="H212" s="15">
        <f t="shared" si="55"/>
        <v>2.06</v>
      </c>
      <c r="I212" s="9">
        <f t="shared" si="58"/>
        <v>49.491151170298366</v>
      </c>
      <c r="J212">
        <f t="shared" si="69"/>
        <v>49.516864887398192</v>
      </c>
      <c r="K212">
        <f t="shared" si="54"/>
        <v>49.975689215023387</v>
      </c>
      <c r="M212" s="15">
        <f t="shared" si="56"/>
        <v>2.06</v>
      </c>
      <c r="N212">
        <f t="shared" si="70"/>
        <v>3.4591816344435836E-3</v>
      </c>
      <c r="O212">
        <f t="shared" si="59"/>
        <v>1.1402352399463082E-2</v>
      </c>
      <c r="P212">
        <f t="shared" si="65"/>
        <v>-4.5126497538205447E-3</v>
      </c>
      <c r="Q212">
        <f t="shared" si="66"/>
        <v>-2.917939292839903E-2</v>
      </c>
      <c r="R212">
        <f t="shared" si="60"/>
        <v>-8.6322422601919236E-3</v>
      </c>
      <c r="S212">
        <f t="shared" si="61"/>
        <v>5.0337899460550437E-5</v>
      </c>
      <c r="U212" s="15">
        <f t="shared" si="57"/>
        <v>2.06</v>
      </c>
      <c r="V212">
        <f t="shared" si="71"/>
        <v>4.9986137174158101</v>
      </c>
      <c r="W212">
        <f t="shared" si="62"/>
        <v>1.3862825841899351E-3</v>
      </c>
      <c r="X212">
        <f t="shared" si="67"/>
        <v>0.85039093545989286</v>
      </c>
      <c r="Y212">
        <f t="shared" si="68"/>
        <v>-3.5477139527451129E-3</v>
      </c>
      <c r="Z212">
        <f t="shared" si="63"/>
        <v>3.4591816344435836E-3</v>
      </c>
      <c r="AA212">
        <f t="shared" si="64"/>
        <v>1.4861534033906665E-2</v>
      </c>
    </row>
    <row r="213" spans="8:27" x14ac:dyDescent="0.25">
      <c r="H213" s="15">
        <f t="shared" si="55"/>
        <v>2.0699999999999998</v>
      </c>
      <c r="I213" s="9">
        <f t="shared" si="58"/>
        <v>49.502358000363479</v>
      </c>
      <c r="J213">
        <f t="shared" si="69"/>
        <v>49.527624323492269</v>
      </c>
      <c r="K213">
        <f t="shared" ref="K213:K276" si="72">K212+$E$8*DEGREES($E$6*$C$5*$C$6^2*$E$5/(4*$C$7)*$C$8*RADIANS(K212) +$E$6*$C$5*$C$6*$E$5^2/(2*$C$7)*$C$9*$C$18)</f>
        <v>49.976230617067102</v>
      </c>
      <c r="M213" s="15">
        <f t="shared" si="56"/>
        <v>2.0699999999999998</v>
      </c>
      <c r="N213">
        <f t="shared" si="70"/>
        <v>3.3728592118416642E-3</v>
      </c>
      <c r="O213">
        <f t="shared" si="59"/>
        <v>1.1117839185066977E-2</v>
      </c>
      <c r="P213">
        <f t="shared" si="65"/>
        <v>-4.4000487958978946E-3</v>
      </c>
      <c r="Q213">
        <f t="shared" si="66"/>
        <v>-2.8451321439610516E-2</v>
      </c>
      <c r="R213">
        <f t="shared" si="60"/>
        <v>-8.4167745171739652E-3</v>
      </c>
      <c r="S213">
        <f t="shared" si="61"/>
        <v>4.9078823751623479E-5</v>
      </c>
      <c r="U213" s="15">
        <f t="shared" si="57"/>
        <v>2.0699999999999998</v>
      </c>
      <c r="V213">
        <f t="shared" si="71"/>
        <v>4.9986483092321548</v>
      </c>
      <c r="W213">
        <f t="shared" si="62"/>
        <v>1.3516907678452483E-3</v>
      </c>
      <c r="X213">
        <f t="shared" si="67"/>
        <v>0.85040462532665306</v>
      </c>
      <c r="Y213">
        <f t="shared" si="68"/>
        <v>-3.4591816344686777E-3</v>
      </c>
      <c r="Z213">
        <f t="shared" si="63"/>
        <v>3.3728592118416642E-3</v>
      </c>
      <c r="AA213">
        <f t="shared" si="64"/>
        <v>1.4490698396908641E-2</v>
      </c>
    </row>
    <row r="214" spans="8:27" x14ac:dyDescent="0.25">
      <c r="H214" s="15">
        <f t="shared" si="55"/>
        <v>2.0799999999999996</v>
      </c>
      <c r="I214" s="9">
        <f t="shared" si="58"/>
        <v>49.513318012448906</v>
      </c>
      <c r="J214">
        <f t="shared" si="69"/>
        <v>49.5381441465629</v>
      </c>
      <c r="K214">
        <f t="shared" si="72"/>
        <v>49.976759962068101</v>
      </c>
      <c r="M214" s="15">
        <f t="shared" si="56"/>
        <v>2.0799999999999996</v>
      </c>
      <c r="N214">
        <f t="shared" si="70"/>
        <v>3.2886914666699243E-3</v>
      </c>
      <c r="O214">
        <f t="shared" si="59"/>
        <v>1.0840425036134426E-2</v>
      </c>
      <c r="P214">
        <f t="shared" si="65"/>
        <v>-4.2902574747918877E-3</v>
      </c>
      <c r="Q214">
        <f t="shared" si="66"/>
        <v>-2.7741414893255045E-2</v>
      </c>
      <c r="R214">
        <f t="shared" si="60"/>
        <v>-8.2066900969602879E-3</v>
      </c>
      <c r="S214">
        <f t="shared" si="61"/>
        <v>4.7851450623137559E-5</v>
      </c>
      <c r="U214" s="15">
        <f t="shared" si="57"/>
        <v>2.0799999999999996</v>
      </c>
      <c r="V214">
        <f t="shared" si="71"/>
        <v>4.9986820378242731</v>
      </c>
      <c r="W214">
        <f t="shared" si="62"/>
        <v>1.3179621757268833E-3</v>
      </c>
      <c r="X214">
        <f t="shared" si="67"/>
        <v>0.85041797359137095</v>
      </c>
      <c r="Y214">
        <f t="shared" si="68"/>
        <v>-3.3728592118364986E-3</v>
      </c>
      <c r="Z214">
        <f t="shared" si="63"/>
        <v>3.2886914666699243E-3</v>
      </c>
      <c r="AA214">
        <f t="shared" si="64"/>
        <v>1.4129116502804351E-2</v>
      </c>
    </row>
    <row r="215" spans="8:27" x14ac:dyDescent="0.25">
      <c r="H215" s="15">
        <f t="shared" si="55"/>
        <v>2.0899999999999994</v>
      </c>
      <c r="I215" s="9">
        <f t="shared" si="58"/>
        <v>49.524036642446411</v>
      </c>
      <c r="J215">
        <f t="shared" si="69"/>
        <v>49.548429692800617</v>
      </c>
      <c r="K215">
        <f t="shared" si="72"/>
        <v>49.97727751853715</v>
      </c>
      <c r="M215" s="15">
        <f t="shared" si="56"/>
        <v>2.0899999999999994</v>
      </c>
      <c r="N215">
        <f t="shared" si="70"/>
        <v>3.2066245657003216E-3</v>
      </c>
      <c r="O215">
        <f t="shared" si="59"/>
        <v>1.0569932833663687E-2</v>
      </c>
      <c r="P215">
        <f t="shared" si="65"/>
        <v>-4.1832056854428975E-3</v>
      </c>
      <c r="Q215">
        <f t="shared" si="66"/>
        <v>-2.7049220247073874E-2</v>
      </c>
      <c r="R215">
        <f t="shared" si="60"/>
        <v>-8.0018540275309837E-3</v>
      </c>
      <c r="S215">
        <f t="shared" si="61"/>
        <v>4.6654962357853269E-5</v>
      </c>
      <c r="U215" s="15">
        <f t="shared" si="57"/>
        <v>2.0899999999999994</v>
      </c>
      <c r="V215">
        <f t="shared" si="71"/>
        <v>4.9987149247389402</v>
      </c>
      <c r="W215">
        <f t="shared" si="62"/>
        <v>1.2850752610598093E-3</v>
      </c>
      <c r="X215">
        <f t="shared" si="67"/>
        <v>0.85043098877855483</v>
      </c>
      <c r="Y215">
        <f t="shared" si="68"/>
        <v>-3.2886914667074052E-3</v>
      </c>
      <c r="Z215">
        <f t="shared" si="63"/>
        <v>3.2066245657003216E-3</v>
      </c>
      <c r="AA215">
        <f t="shared" si="64"/>
        <v>1.3776557399364009E-2</v>
      </c>
    </row>
    <row r="216" spans="8:27" x14ac:dyDescent="0.25">
      <c r="H216" s="15">
        <f t="shared" si="55"/>
        <v>2.0999999999999992</v>
      </c>
      <c r="I216" s="9">
        <f t="shared" si="58"/>
        <v>49.534519206528266</v>
      </c>
      <c r="J216">
        <f t="shared" si="69"/>
        <v>49.558486179558805</v>
      </c>
      <c r="K216">
        <f t="shared" si="72"/>
        <v>49.977783549005274</v>
      </c>
      <c r="M216" s="15">
        <f t="shared" si="56"/>
        <v>2.0999999999999992</v>
      </c>
      <c r="N216">
        <f t="shared" si="70"/>
        <v>3.1266060254250116E-3</v>
      </c>
      <c r="O216">
        <f t="shared" si="59"/>
        <v>1.0306189876559195E-2</v>
      </c>
      <c r="P216">
        <f t="shared" si="65"/>
        <v>-4.0788250718917828E-3</v>
      </c>
      <c r="Q216">
        <f t="shared" si="66"/>
        <v>-2.6374295710449198E-2</v>
      </c>
      <c r="R216">
        <f t="shared" si="60"/>
        <v>-7.8021347523625417E-3</v>
      </c>
      <c r="S216">
        <f t="shared" si="61"/>
        <v>4.5488563445014382E-5</v>
      </c>
      <c r="U216" s="15">
        <f t="shared" si="57"/>
        <v>2.0999999999999992</v>
      </c>
      <c r="V216">
        <f t="shared" si="71"/>
        <v>4.9987469909845972</v>
      </c>
      <c r="W216">
        <f t="shared" si="62"/>
        <v>1.2530090154028173E-3</v>
      </c>
      <c r="X216">
        <f t="shared" si="67"/>
        <v>0.85044367919993713</v>
      </c>
      <c r="Y216">
        <f t="shared" si="68"/>
        <v>-3.206624565699201E-3</v>
      </c>
      <c r="Z216">
        <f t="shared" si="63"/>
        <v>3.1266060254250116E-3</v>
      </c>
      <c r="AA216">
        <f t="shared" si="64"/>
        <v>1.3432795901984207E-2</v>
      </c>
    </row>
    <row r="217" spans="8:27" x14ac:dyDescent="0.25">
      <c r="H217" s="15">
        <f t="shared" si="55"/>
        <v>2.109999999999999</v>
      </c>
      <c r="I217" s="9">
        <f t="shared" si="58"/>
        <v>49.544770903783949</v>
      </c>
      <c r="J217">
        <f t="shared" si="69"/>
        <v>49.568318708000191</v>
      </c>
      <c r="K217">
        <f t="shared" si="72"/>
        <v>49.978278310156924</v>
      </c>
      <c r="M217" s="15">
        <f t="shared" si="56"/>
        <v>2.109999999999999</v>
      </c>
      <c r="N217">
        <f t="shared" si="70"/>
        <v>3.0485846779013861E-3</v>
      </c>
      <c r="O217">
        <f t="shared" si="59"/>
        <v>1.0049027771146671E-2</v>
      </c>
      <c r="P217">
        <f t="shared" si="65"/>
        <v>-3.9770489836532539E-3</v>
      </c>
      <c r="Q217">
        <f t="shared" si="66"/>
        <v>-2.5716210541252421E-2</v>
      </c>
      <c r="R217">
        <f t="shared" si="60"/>
        <v>-7.6074040692171354E-3</v>
      </c>
      <c r="S217">
        <f t="shared" si="61"/>
        <v>4.4351481385450364E-5</v>
      </c>
      <c r="U217" s="15">
        <f t="shared" si="57"/>
        <v>2.109999999999999</v>
      </c>
      <c r="V217">
        <f t="shared" si="71"/>
        <v>4.9987782570448518</v>
      </c>
      <c r="W217">
        <f t="shared" si="62"/>
        <v>1.2217429551482084E-3</v>
      </c>
      <c r="X217">
        <f t="shared" si="67"/>
        <v>0.85045605295978988</v>
      </c>
      <c r="Y217">
        <f t="shared" si="68"/>
        <v>-3.1266060254608874E-3</v>
      </c>
      <c r="Z217">
        <f t="shared" si="63"/>
        <v>3.0485846779013861E-3</v>
      </c>
      <c r="AA217">
        <f t="shared" si="64"/>
        <v>1.3097612449048057E-2</v>
      </c>
    </row>
    <row r="218" spans="8:27" x14ac:dyDescent="0.25">
      <c r="H218" s="15">
        <f t="shared" si="55"/>
        <v>2.1199999999999988</v>
      </c>
      <c r="I218" s="9">
        <f t="shared" si="58"/>
        <v>49.554796818798785</v>
      </c>
      <c r="J218">
        <f t="shared" si="69"/>
        <v>49.577932265684439</v>
      </c>
      <c r="K218">
        <f t="shared" si="72"/>
        <v>49.978762052960178</v>
      </c>
      <c r="M218" s="15">
        <f t="shared" si="56"/>
        <v>2.1199999999999988</v>
      </c>
      <c r="N218">
        <f t="shared" si="70"/>
        <v>2.9725106372092149E-3</v>
      </c>
      <c r="O218">
        <f t="shared" si="59"/>
        <v>9.7982823242434552E-3</v>
      </c>
      <c r="P218">
        <f t="shared" si="65"/>
        <v>-3.8778124331763034E-3</v>
      </c>
      <c r="Q218">
        <f t="shared" si="66"/>
        <v>-2.5074544690321596E-2</v>
      </c>
      <c r="R218">
        <f t="shared" si="60"/>
        <v>-7.4175370112826156E-3</v>
      </c>
      <c r="S218">
        <f t="shared" si="61"/>
        <v>4.324296429782104E-5</v>
      </c>
      <c r="U218" s="15">
        <f t="shared" si="57"/>
        <v>2.1199999999999988</v>
      </c>
      <c r="V218">
        <f t="shared" si="71"/>
        <v>4.9988087428916312</v>
      </c>
      <c r="W218">
        <f t="shared" si="62"/>
        <v>1.1912571083687595E-3</v>
      </c>
      <c r="X218">
        <f t="shared" si="67"/>
        <v>0.85046811796010746</v>
      </c>
      <c r="Y218">
        <f t="shared" si="68"/>
        <v>-3.0485846779448877E-3</v>
      </c>
      <c r="Z218">
        <f t="shared" si="63"/>
        <v>2.9725106372092149E-3</v>
      </c>
      <c r="AA218">
        <f t="shared" si="64"/>
        <v>1.2770792961452671E-2</v>
      </c>
    </row>
    <row r="219" spans="8:27" x14ac:dyDescent="0.25">
      <c r="H219" s="15">
        <f t="shared" si="55"/>
        <v>2.1299999999999986</v>
      </c>
      <c r="I219" s="9">
        <f t="shared" si="58"/>
        <v>49.56460192417574</v>
      </c>
      <c r="J219">
        <f t="shared" si="69"/>
        <v>49.587331729098068</v>
      </c>
      <c r="K219">
        <f t="shared" si="72"/>
        <v>49.97923502279405</v>
      </c>
      <c r="M219" s="15">
        <f t="shared" si="56"/>
        <v>2.1299999999999986</v>
      </c>
      <c r="N219">
        <f t="shared" si="70"/>
        <v>2.8983352670963886E-3</v>
      </c>
      <c r="O219">
        <f t="shared" si="59"/>
        <v>9.5537934382714379E-3</v>
      </c>
      <c r="P219">
        <f t="shared" si="65"/>
        <v>-3.7810520543637288E-3</v>
      </c>
      <c r="Q219">
        <f t="shared" si="66"/>
        <v>-2.4448888597201728E-2</v>
      </c>
      <c r="R219">
        <f t="shared" si="60"/>
        <v>-7.2324117811919638E-3</v>
      </c>
      <c r="S219">
        <f t="shared" si="61"/>
        <v>4.216228124778558E-5</v>
      </c>
      <c r="U219" s="15">
        <f t="shared" si="57"/>
        <v>2.1299999999999986</v>
      </c>
      <c r="V219">
        <f t="shared" si="71"/>
        <v>4.9988384679980031</v>
      </c>
      <c r="W219">
        <f t="shared" si="62"/>
        <v>1.1615320019968678E-3</v>
      </c>
      <c r="X219">
        <f t="shared" si="67"/>
        <v>0.85047988190565926</v>
      </c>
      <c r="Y219">
        <f t="shared" si="68"/>
        <v>-2.9725106371891741E-3</v>
      </c>
      <c r="Z219">
        <f t="shared" si="63"/>
        <v>2.8983352670963886E-3</v>
      </c>
      <c r="AA219">
        <f t="shared" si="64"/>
        <v>1.2452128705367826E-2</v>
      </c>
    </row>
    <row r="220" spans="8:27" x14ac:dyDescent="0.25">
      <c r="H220" s="15">
        <f t="shared" si="55"/>
        <v>2.1399999999999983</v>
      </c>
      <c r="I220" s="9">
        <f t="shared" si="58"/>
        <v>49.574191083001757</v>
      </c>
      <c r="J220">
        <f t="shared" si="69"/>
        <v>49.596521866128086</v>
      </c>
      <c r="K220">
        <f t="shared" si="72"/>
        <v>49.979697459572947</v>
      </c>
      <c r="M220" s="15">
        <f t="shared" si="56"/>
        <v>2.1399999999999983</v>
      </c>
      <c r="N220">
        <f t="shared" si="70"/>
        <v>2.8260111492844691E-3</v>
      </c>
      <c r="O220">
        <f t="shared" si="59"/>
        <v>9.3154050090905813E-3</v>
      </c>
      <c r="P220">
        <f t="shared" si="65"/>
        <v>-3.6867060621269187E-3</v>
      </c>
      <c r="Q220">
        <f t="shared" si="66"/>
        <v>-2.3838842918085662E-2</v>
      </c>
      <c r="R220">
        <f t="shared" si="60"/>
        <v>-7.0519096691178647E-3</v>
      </c>
      <c r="S220">
        <f t="shared" si="61"/>
        <v>4.1108721634288553E-5</v>
      </c>
      <c r="U220" s="15">
        <f t="shared" si="57"/>
        <v>2.1399999999999983</v>
      </c>
      <c r="V220">
        <f t="shared" si="71"/>
        <v>4.9988674513506739</v>
      </c>
      <c r="W220">
        <f t="shared" si="62"/>
        <v>1.1325486493261039E-3</v>
      </c>
      <c r="X220">
        <f t="shared" si="67"/>
        <v>0.85049135230891593</v>
      </c>
      <c r="Y220">
        <f t="shared" si="68"/>
        <v>-2.8983352670763907E-3</v>
      </c>
      <c r="Z220">
        <f t="shared" si="63"/>
        <v>2.8260111492844691E-3</v>
      </c>
      <c r="AA220">
        <f t="shared" si="64"/>
        <v>1.2141416158375051E-2</v>
      </c>
    </row>
    <row r="221" spans="8:27" x14ac:dyDescent="0.25">
      <c r="H221" s="15">
        <f t="shared" si="55"/>
        <v>2.1499999999999981</v>
      </c>
      <c r="I221" s="9">
        <f t="shared" si="58"/>
        <v>49.583569051259651</v>
      </c>
      <c r="J221">
        <f t="shared" si="69"/>
        <v>49.605507338480479</v>
      </c>
      <c r="K221">
        <f t="shared" si="72"/>
        <v>49.980149597868376</v>
      </c>
      <c r="M221" s="15">
        <f t="shared" si="56"/>
        <v>2.1499999999999981</v>
      </c>
      <c r="N221">
        <f t="shared" si="70"/>
        <v>2.7554920525932904E-3</v>
      </c>
      <c r="O221">
        <f t="shared" si="59"/>
        <v>9.0829648267721757E-3</v>
      </c>
      <c r="P221">
        <f t="shared" si="65"/>
        <v>-3.594714212947605E-3</v>
      </c>
      <c r="Q221">
        <f t="shared" si="66"/>
        <v>-2.3244018231840559E-2</v>
      </c>
      <c r="R221">
        <f t="shared" si="60"/>
        <v>-6.8759149530669399E-3</v>
      </c>
      <c r="S221">
        <f t="shared" si="61"/>
        <v>4.0081593512078864E-5</v>
      </c>
      <c r="U221" s="15">
        <f t="shared" si="57"/>
        <v>2.1499999999999981</v>
      </c>
      <c r="V221">
        <f t="shared" si="71"/>
        <v>4.9988957114621666</v>
      </c>
      <c r="W221">
        <f t="shared" si="62"/>
        <v>1.1042885378333978E-3</v>
      </c>
      <c r="X221">
        <f t="shared" si="67"/>
        <v>0.85050253649485175</v>
      </c>
      <c r="Y221">
        <f t="shared" si="68"/>
        <v>-2.826011149270613E-3</v>
      </c>
      <c r="Z221">
        <f t="shared" si="63"/>
        <v>2.7554920525932904E-3</v>
      </c>
      <c r="AA221">
        <f t="shared" si="64"/>
        <v>1.1838456879365467E-2</v>
      </c>
    </row>
    <row r="222" spans="8:27" x14ac:dyDescent="0.25">
      <c r="H222" s="15">
        <f>H221+$E$8</f>
        <v>2.1599999999999979</v>
      </c>
      <c r="I222" s="9">
        <f t="shared" si="58"/>
        <v>49.592740480187025</v>
      </c>
      <c r="J222">
        <f t="shared" si="69"/>
        <v>49.614292704044871</v>
      </c>
      <c r="K222">
        <f t="shared" si="72"/>
        <v>49.980591667027923</v>
      </c>
      <c r="M222" s="15">
        <f>M221+$E$8</f>
        <v>2.1599999999999979</v>
      </c>
      <c r="N222">
        <f t="shared" si="70"/>
        <v>2.686732903062621E-3</v>
      </c>
      <c r="O222">
        <f t="shared" si="59"/>
        <v>8.8563244783415318E-3</v>
      </c>
      <c r="P222">
        <f t="shared" si="65"/>
        <v>-3.5050177664220365E-3</v>
      </c>
      <c r="Q222">
        <f t="shared" si="66"/>
        <v>-2.2664034843064389E-2</v>
      </c>
      <c r="R222">
        <f t="shared" si="60"/>
        <v>-6.7043148372487602E-3</v>
      </c>
      <c r="S222">
        <f t="shared" si="61"/>
        <v>3.9080223857764287E-5</v>
      </c>
      <c r="U222" s="15">
        <f>U221+$E$8</f>
        <v>2.1599999999999979</v>
      </c>
      <c r="V222">
        <f t="shared" si="71"/>
        <v>4.9989232663826924</v>
      </c>
      <c r="W222">
        <f t="shared" si="62"/>
        <v>1.0767336173076458E-3</v>
      </c>
      <c r="X222">
        <f t="shared" si="67"/>
        <v>0.85051344160562747</v>
      </c>
      <c r="Y222">
        <f t="shared" si="68"/>
        <v>-2.7554920525751925E-3</v>
      </c>
      <c r="Z222">
        <f t="shared" si="63"/>
        <v>2.686732903062621E-3</v>
      </c>
      <c r="AA222">
        <f t="shared" si="64"/>
        <v>1.1543057381404154E-2</v>
      </c>
    </row>
    <row r="223" spans="8:27" x14ac:dyDescent="0.25">
      <c r="H223" s="15">
        <f t="shared" si="55"/>
        <v>2.1699999999999977</v>
      </c>
      <c r="I223" s="9">
        <f t="shared" si="58"/>
        <v>49.60170991858314</v>
      </c>
      <c r="J223">
        <f t="shared" si="69"/>
        <v>49.62288241920654</v>
      </c>
      <c r="K223">
        <f t="shared" si="72"/>
        <v>49.981023891291613</v>
      </c>
      <c r="M223" s="15">
        <f t="shared" si="56"/>
        <v>2.1699999999999977</v>
      </c>
      <c r="N223">
        <f t="shared" si="70"/>
        <v>2.6196897546901334E-3</v>
      </c>
      <c r="O223">
        <f t="shared" si="59"/>
        <v>8.635339253085841E-3</v>
      </c>
      <c r="P223">
        <f t="shared" si="65"/>
        <v>-3.4175594477648995E-3</v>
      </c>
      <c r="Q223">
        <f t="shared" si="66"/>
        <v>-2.2098522525569077E-2</v>
      </c>
      <c r="R223">
        <f t="shared" si="60"/>
        <v>-6.5369993747094327E-3</v>
      </c>
      <c r="S223">
        <f t="shared" si="61"/>
        <v>3.810395790850539E-5</v>
      </c>
      <c r="U223" s="15">
        <f t="shared" si="57"/>
        <v>2.1699999999999977</v>
      </c>
      <c r="V223">
        <f t="shared" si="71"/>
        <v>4.9989501337117233</v>
      </c>
      <c r="W223">
        <f t="shared" si="62"/>
        <v>1.0498662882767462E-3</v>
      </c>
      <c r="X223">
        <f t="shared" si="67"/>
        <v>0.85052407460515544</v>
      </c>
      <c r="Y223">
        <f t="shared" si="68"/>
        <v>-2.6867329030899612E-3</v>
      </c>
      <c r="Z223">
        <f t="shared" si="63"/>
        <v>2.6196897546901334E-3</v>
      </c>
      <c r="AA223">
        <f t="shared" si="64"/>
        <v>1.1255029007775974E-2</v>
      </c>
    </row>
    <row r="224" spans="8:27" x14ac:dyDescent="0.25">
      <c r="H224" s="15">
        <f t="shared" si="55"/>
        <v>2.1799999999999975</v>
      </c>
      <c r="I224" s="9">
        <f t="shared" si="58"/>
        <v>49.610481815064993</v>
      </c>
      <c r="J224">
        <f t="shared" si="69"/>
        <v>49.631280841106886</v>
      </c>
      <c r="K224">
        <f t="shared" si="72"/>
        <v>49.981446489905615</v>
      </c>
      <c r="M224" s="15">
        <f t="shared" si="56"/>
        <v>2.1799999999999975</v>
      </c>
      <c r="N224">
        <f t="shared" si="70"/>
        <v>2.5543197609430393E-3</v>
      </c>
      <c r="O224">
        <f t="shared" si="59"/>
        <v>8.4198680504492165E-3</v>
      </c>
      <c r="P224">
        <f t="shared" si="65"/>
        <v>-3.3322834112472243E-3</v>
      </c>
      <c r="Q224">
        <f t="shared" si="66"/>
        <v>-2.1547120263662456E-2</v>
      </c>
      <c r="R224">
        <f t="shared" si="60"/>
        <v>-6.3738613819772031E-3</v>
      </c>
      <c r="S224">
        <f t="shared" si="61"/>
        <v>3.7152157974312816E-5</v>
      </c>
      <c r="U224" s="15">
        <f t="shared" si="57"/>
        <v>2.1799999999999975</v>
      </c>
      <c r="V224">
        <f t="shared" si="71"/>
        <v>4.9989763306092705</v>
      </c>
      <c r="W224">
        <f t="shared" si="62"/>
        <v>1.0236693907295091E-3</v>
      </c>
      <c r="X224">
        <f t="shared" si="67"/>
        <v>0.85053444228355046</v>
      </c>
      <c r="Y224">
        <f t="shared" si="68"/>
        <v>-2.6196897547237086E-3</v>
      </c>
      <c r="Z224">
        <f t="shared" si="63"/>
        <v>2.5543197609430393E-3</v>
      </c>
      <c r="AA224">
        <f t="shared" si="64"/>
        <v>1.0974187811392255E-2</v>
      </c>
    </row>
    <row r="225" spans="8:27" x14ac:dyDescent="0.25">
      <c r="H225" s="15">
        <f t="shared" si="55"/>
        <v>2.1899999999999973</v>
      </c>
      <c r="I225" s="9">
        <f t="shared" si="58"/>
        <v>49.619060520273763</v>
      </c>
      <c r="J225">
        <f t="shared" si="69"/>
        <v>49.639492229853623</v>
      </c>
      <c r="K225">
        <f t="shared" si="72"/>
        <v>49.981859677233494</v>
      </c>
      <c r="M225" s="15">
        <f t="shared" si="56"/>
        <v>2.1899999999999973</v>
      </c>
      <c r="N225">
        <f t="shared" si="70"/>
        <v>2.4905811471232671E-3</v>
      </c>
      <c r="O225">
        <f t="shared" si="59"/>
        <v>8.2097732898417757E-3</v>
      </c>
      <c r="P225">
        <f t="shared" si="65"/>
        <v>-3.2491352045457694E-3</v>
      </c>
      <c r="Q225">
        <f t="shared" si="66"/>
        <v>-2.1009476060744083E-2</v>
      </c>
      <c r="R225">
        <f t="shared" si="60"/>
        <v>-6.2147963814801919E-3</v>
      </c>
      <c r="S225">
        <f t="shared" si="61"/>
        <v>3.6224203652736667E-5</v>
      </c>
      <c r="U225" s="15">
        <f t="shared" si="57"/>
        <v>2.1899999999999973</v>
      </c>
      <c r="V225">
        <f t="shared" si="71"/>
        <v>4.99900187380688</v>
      </c>
      <c r="W225">
        <f t="shared" si="62"/>
        <v>9.9812619312000805E-4</v>
      </c>
      <c r="X225">
        <f t="shared" si="67"/>
        <v>0.85054455126146966</v>
      </c>
      <c r="Y225">
        <f t="shared" si="68"/>
        <v>-2.5543197609501078E-3</v>
      </c>
      <c r="Z225">
        <f t="shared" si="63"/>
        <v>2.4905811471232671E-3</v>
      </c>
      <c r="AA225">
        <f t="shared" si="64"/>
        <v>1.0700354436965043E-2</v>
      </c>
    </row>
    <row r="226" spans="8:27" x14ac:dyDescent="0.25">
      <c r="H226" s="15">
        <f t="shared" si="55"/>
        <v>2.1999999999999971</v>
      </c>
      <c r="I226" s="9">
        <f t="shared" si="58"/>
        <v>49.627450289032566</v>
      </c>
      <c r="J226">
        <f t="shared" si="69"/>
        <v>49.647520750681721</v>
      </c>
      <c r="K226">
        <f t="shared" si="72"/>
        <v>49.982263662864931</v>
      </c>
      <c r="M226" s="15">
        <f t="shared" si="56"/>
        <v>2.1999999999999971</v>
      </c>
      <c r="N226">
        <f t="shared" si="70"/>
        <v>2.428433183308465E-3</v>
      </c>
      <c r="O226">
        <f t="shared" si="59"/>
        <v>8.0049208229317718E-3</v>
      </c>
      <c r="P226">
        <f t="shared" si="65"/>
        <v>-3.1680617339819015E-3</v>
      </c>
      <c r="Q226">
        <f t="shared" si="66"/>
        <v>-2.0485246691000387E-2</v>
      </c>
      <c r="R226">
        <f t="shared" si="60"/>
        <v>-6.0597025251826848E-3</v>
      </c>
      <c r="S226">
        <f t="shared" si="61"/>
        <v>3.5319490955967522E-5</v>
      </c>
      <c r="U226" s="15">
        <f t="shared" si="57"/>
        <v>2.1999999999999971</v>
      </c>
      <c r="V226">
        <f t="shared" si="71"/>
        <v>4.999026779618351</v>
      </c>
      <c r="W226">
        <f t="shared" si="62"/>
        <v>9.7322038164904257E-4</v>
      </c>
      <c r="X226">
        <f t="shared" si="67"/>
        <v>0.85055440799434345</v>
      </c>
      <c r="Y226">
        <f t="shared" si="68"/>
        <v>-2.4905811470965489E-3</v>
      </c>
      <c r="Z226">
        <f t="shared" si="63"/>
        <v>2.428433183308465E-3</v>
      </c>
      <c r="AA226">
        <f t="shared" si="64"/>
        <v>1.0433354006240236E-2</v>
      </c>
    </row>
    <row r="227" spans="8:27" x14ac:dyDescent="0.25">
      <c r="H227" s="15">
        <f t="shared" si="55"/>
        <v>2.2099999999999969</v>
      </c>
      <c r="I227" s="9">
        <f t="shared" si="58"/>
        <v>49.635655282456774</v>
      </c>
      <c r="J227">
        <f t="shared" si="69"/>
        <v>49.65537047606621</v>
      </c>
      <c r="K227">
        <f t="shared" si="72"/>
        <v>49.982658651722026</v>
      </c>
      <c r="M227" s="15">
        <f t="shared" si="56"/>
        <v>2.2099999999999969</v>
      </c>
      <c r="N227">
        <f t="shared" si="70"/>
        <v>2.367836158056638E-3</v>
      </c>
      <c r="O227">
        <f t="shared" si="59"/>
        <v>7.8051798480588937E-3</v>
      </c>
      <c r="P227">
        <f t="shared" si="65"/>
        <v>-3.0890112306269481E-3</v>
      </c>
      <c r="Q227">
        <f t="shared" si="66"/>
        <v>-1.9974097487287807E-2</v>
      </c>
      <c r="R227">
        <f t="shared" si="60"/>
        <v>-5.9084805282585591E-3</v>
      </c>
      <c r="S227">
        <f t="shared" si="61"/>
        <v>3.4437431889830332E-5</v>
      </c>
      <c r="U227" s="15">
        <f t="shared" si="57"/>
        <v>2.2099999999999969</v>
      </c>
      <c r="V227">
        <f t="shared" si="71"/>
        <v>4.9990510639501844</v>
      </c>
      <c r="W227">
        <f t="shared" si="62"/>
        <v>9.4893604981560742E-4</v>
      </c>
      <c r="X227">
        <f t="shared" si="67"/>
        <v>0.85056401877650079</v>
      </c>
      <c r="Y227">
        <f t="shared" si="68"/>
        <v>-2.4284331833435147E-3</v>
      </c>
      <c r="Z227">
        <f t="shared" si="63"/>
        <v>2.367836158056638E-3</v>
      </c>
      <c r="AA227">
        <f t="shared" si="64"/>
        <v>1.0173016006115532E-2</v>
      </c>
    </row>
    <row r="228" spans="8:27" x14ac:dyDescent="0.25">
      <c r="H228" s="15">
        <f t="shared" si="55"/>
        <v>2.2199999999999966</v>
      </c>
      <c r="I228" s="9">
        <f t="shared" si="58"/>
        <v>49.643679570017817</v>
      </c>
      <c r="J228">
        <f t="shared" si="69"/>
        <v>49.66304538778796</v>
      </c>
      <c r="K228">
        <f t="shared" si="72"/>
        <v>49.98304484416326</v>
      </c>
      <c r="M228" s="15">
        <f t="shared" si="56"/>
        <v>2.2199999999999966</v>
      </c>
      <c r="N228">
        <f t="shared" si="70"/>
        <v>2.3087513527740525E-3</v>
      </c>
      <c r="O228">
        <f t="shared" si="59"/>
        <v>7.6104228270041149E-3</v>
      </c>
      <c r="P228">
        <f t="shared" si="65"/>
        <v>-3.011933217251633E-3</v>
      </c>
      <c r="Q228">
        <f t="shared" si="66"/>
        <v>-1.9475702105477884E-2</v>
      </c>
      <c r="R228">
        <f t="shared" si="60"/>
        <v>-5.7610335908104956E-3</v>
      </c>
      <c r="S228">
        <f t="shared" si="61"/>
        <v>3.357745330471399E-5</v>
      </c>
      <c r="U228" s="15">
        <f t="shared" si="57"/>
        <v>2.2199999999999966</v>
      </c>
      <c r="V228">
        <f t="shared" si="71"/>
        <v>4.9990747423117652</v>
      </c>
      <c r="W228">
        <f t="shared" si="62"/>
        <v>9.2525768823481513E-4</v>
      </c>
      <c r="X228">
        <f t="shared" si="67"/>
        <v>0.85057338974519103</v>
      </c>
      <c r="Y228">
        <f t="shared" si="68"/>
        <v>-2.3678361580792284E-3</v>
      </c>
      <c r="Z228">
        <f t="shared" si="63"/>
        <v>2.3087513527740525E-3</v>
      </c>
      <c r="AA228">
        <f t="shared" si="64"/>
        <v>9.9191741797781674E-3</v>
      </c>
    </row>
    <row r="229" spans="8:27" x14ac:dyDescent="0.25">
      <c r="H229" s="15">
        <f t="shared" si="55"/>
        <v>2.2299999999999964</v>
      </c>
      <c r="I229" s="9">
        <f t="shared" si="58"/>
        <v>49.651527131561544</v>
      </c>
      <c r="J229">
        <f t="shared" si="69"/>
        <v>49.670549378953446</v>
      </c>
      <c r="K229">
        <f t="shared" si="72"/>
        <v>49.983422436085128</v>
      </c>
      <c r="M229" s="15">
        <f t="shared" si="56"/>
        <v>2.2299999999999964</v>
      </c>
      <c r="N229">
        <f t="shared" si="70"/>
        <v>2.2511410168659478E-3</v>
      </c>
      <c r="O229">
        <f t="shared" si="59"/>
        <v>7.420525403238027E-3</v>
      </c>
      <c r="P229">
        <f t="shared" si="65"/>
        <v>-2.9367784761004222E-3</v>
      </c>
      <c r="Q229">
        <f t="shared" si="66"/>
        <v>-1.8989742376608783E-2</v>
      </c>
      <c r="R229">
        <f t="shared" si="60"/>
        <v>-5.6172673590704847E-3</v>
      </c>
      <c r="S229">
        <f t="shared" si="61"/>
        <v>3.2738997792144953E-5</v>
      </c>
      <c r="U229" s="15">
        <f t="shared" si="57"/>
        <v>2.2299999999999964</v>
      </c>
      <c r="V229">
        <f t="shared" si="71"/>
        <v>4.9990978298252928</v>
      </c>
      <c r="W229">
        <f t="shared" si="62"/>
        <v>9.0217017470717309E-4</v>
      </c>
      <c r="X229">
        <f t="shared" si="67"/>
        <v>0.85058252688450575</v>
      </c>
      <c r="Y229">
        <f t="shared" si="68"/>
        <v>-2.3087513527642045E-3</v>
      </c>
      <c r="Z229">
        <f t="shared" si="63"/>
        <v>2.2511410168659478E-3</v>
      </c>
      <c r="AA229">
        <f t="shared" si="64"/>
        <v>9.6716664201039748E-3</v>
      </c>
    </row>
    <row r="230" spans="8:27" x14ac:dyDescent="0.25">
      <c r="H230" s="15">
        <f t="shared" si="55"/>
        <v>2.2399999999999962</v>
      </c>
      <c r="I230" s="9">
        <f t="shared" si="58"/>
        <v>49.65920185928212</v>
      </c>
      <c r="J230">
        <f t="shared" si="69"/>
        <v>49.677886255969518</v>
      </c>
      <c r="K230">
        <f t="shared" si="72"/>
        <v>49.983791619021503</v>
      </c>
      <c r="M230" s="15">
        <f t="shared" si="56"/>
        <v>2.2399999999999962</v>
      </c>
      <c r="N230">
        <f t="shared" si="70"/>
        <v>2.1949683432752431E-3</v>
      </c>
      <c r="O230">
        <f t="shared" si="59"/>
        <v>7.235366322742371E-3</v>
      </c>
      <c r="P230">
        <f t="shared" si="65"/>
        <v>-2.8634990174705201E-3</v>
      </c>
      <c r="Q230">
        <f t="shared" si="66"/>
        <v>-1.8515908049565599E-2</v>
      </c>
      <c r="R230">
        <f t="shared" si="60"/>
        <v>-5.4770898465496282E-3</v>
      </c>
      <c r="S230">
        <f t="shared" si="61"/>
        <v>3.1921522363514282E-5</v>
      </c>
      <c r="U230" s="15">
        <f t="shared" si="57"/>
        <v>2.2399999999999962</v>
      </c>
      <c r="V230">
        <f t="shared" si="71"/>
        <v>4.9991203412354617</v>
      </c>
      <c r="W230">
        <f t="shared" si="62"/>
        <v>8.7965876453832692E-4</v>
      </c>
      <c r="X230">
        <f t="shared" si="67"/>
        <v>0.85059143602920195</v>
      </c>
      <c r="Y230">
        <f t="shared" si="68"/>
        <v>-2.2511410168846169E-3</v>
      </c>
      <c r="Z230">
        <f t="shared" si="63"/>
        <v>2.1949683432752431E-3</v>
      </c>
      <c r="AA230">
        <f t="shared" si="64"/>
        <v>9.4303346660176146E-3</v>
      </c>
    </row>
    <row r="231" spans="8:27" x14ac:dyDescent="0.25">
      <c r="H231" s="15">
        <f t="shared" si="55"/>
        <v>2.249999999999996</v>
      </c>
      <c r="I231" s="9">
        <f t="shared" si="58"/>
        <v>49.666707559652437</v>
      </c>
      <c r="J231">
        <f t="shared" si="69"/>
        <v>49.685059740474209</v>
      </c>
      <c r="K231">
        <f t="shared" si="72"/>
        <v>49.984152580240796</v>
      </c>
      <c r="M231" s="15">
        <f t="shared" si="56"/>
        <v>2.249999999999996</v>
      </c>
      <c r="N231">
        <f t="shared" si="70"/>
        <v>2.1401974448097467E-3</v>
      </c>
      <c r="O231">
        <f t="shared" si="59"/>
        <v>7.0548273568283946E-3</v>
      </c>
      <c r="P231">
        <f t="shared" si="65"/>
        <v>-2.7920480490726662E-3</v>
      </c>
      <c r="Q231">
        <f t="shared" si="66"/>
        <v>-1.8053896591397646E-2</v>
      </c>
      <c r="R231">
        <f t="shared" si="60"/>
        <v>-5.3404113660150609E-3</v>
      </c>
      <c r="S231">
        <f t="shared" si="61"/>
        <v>3.1124497620518138E-5</v>
      </c>
      <c r="U231" s="15">
        <f t="shared" si="57"/>
        <v>2.249999999999996</v>
      </c>
      <c r="V231">
        <f t="shared" si="71"/>
        <v>4.9991422909188943</v>
      </c>
      <c r="W231">
        <f t="shared" si="62"/>
        <v>8.5770908110571753E-4</v>
      </c>
      <c r="X231">
        <f t="shared" si="67"/>
        <v>0.85060012286843012</v>
      </c>
      <c r="Y231">
        <f t="shared" si="68"/>
        <v>-2.194968343260939E-3</v>
      </c>
      <c r="Z231">
        <f t="shared" si="63"/>
        <v>2.1401974448097467E-3</v>
      </c>
      <c r="AA231">
        <f t="shared" si="64"/>
        <v>9.1950248016381408E-3</v>
      </c>
    </row>
    <row r="232" spans="8:27" x14ac:dyDescent="0.25">
      <c r="H232" s="15">
        <f t="shared" si="55"/>
        <v>2.2599999999999958</v>
      </c>
      <c r="I232" s="9">
        <f t="shared" si="58"/>
        <v>49.674047955312098</v>
      </c>
      <c r="J232">
        <f t="shared" si="69"/>
        <v>49.692073471224539</v>
      </c>
      <c r="K232">
        <f t="shared" si="72"/>
        <v>49.984505502840932</v>
      </c>
      <c r="M232" s="15">
        <f t="shared" si="56"/>
        <v>2.2599999999999958</v>
      </c>
      <c r="N232">
        <f t="shared" si="70"/>
        <v>2.086793331149596E-3</v>
      </c>
      <c r="O232">
        <f t="shared" si="59"/>
        <v>6.8787932263568597E-3</v>
      </c>
      <c r="P232">
        <f t="shared" si="65"/>
        <v>-2.7223799461567398E-3</v>
      </c>
      <c r="Q232">
        <f t="shared" si="66"/>
        <v>-1.7603413047153488E-2</v>
      </c>
      <c r="R232">
        <f t="shared" si="60"/>
        <v>-5.2071444927921269E-3</v>
      </c>
      <c r="S232">
        <f t="shared" si="61"/>
        <v>3.0347408541514867E-5</v>
      </c>
      <c r="U232" s="15">
        <f t="shared" si="57"/>
        <v>2.2599999999999958</v>
      </c>
      <c r="V232">
        <f t="shared" si="71"/>
        <v>4.9991636928933421</v>
      </c>
      <c r="W232">
        <f t="shared" si="62"/>
        <v>8.3630710665794084E-4</v>
      </c>
      <c r="X232">
        <f t="shared" si="67"/>
        <v>0.85060859294936897</v>
      </c>
      <c r="Y232">
        <f t="shared" si="68"/>
        <v>-2.1401974447776695E-3</v>
      </c>
      <c r="Z232">
        <f t="shared" si="63"/>
        <v>2.086793331149596E-3</v>
      </c>
      <c r="AA232">
        <f t="shared" si="64"/>
        <v>8.9655865575064553E-3</v>
      </c>
    </row>
    <row r="233" spans="8:27" x14ac:dyDescent="0.25">
      <c r="H233" s="15">
        <f t="shared" si="55"/>
        <v>2.2699999999999956</v>
      </c>
      <c r="I233" s="9">
        <f t="shared" si="58"/>
        <v>49.681226686913647</v>
      </c>
      <c r="J233">
        <f t="shared" si="69"/>
        <v>49.698931005942292</v>
      </c>
      <c r="K233">
        <f t="shared" si="72"/>
        <v>49.984850565842244</v>
      </c>
      <c r="M233" s="15">
        <f t="shared" si="56"/>
        <v>2.2699999999999956</v>
      </c>
      <c r="N233">
        <f t="shared" si="70"/>
        <v>2.0347218862216748E-3</v>
      </c>
      <c r="O233">
        <f t="shared" si="59"/>
        <v>6.7071515283835198E-3</v>
      </c>
      <c r="P233">
        <f t="shared" si="65"/>
        <v>-2.6544502223830378E-3</v>
      </c>
      <c r="Q233">
        <f t="shared" si="66"/>
        <v>-1.7164169797333987E-2</v>
      </c>
      <c r="R233">
        <f t="shared" si="60"/>
        <v>-5.0772039892872326E-3</v>
      </c>
      <c r="S233">
        <f t="shared" si="61"/>
        <v>2.9589753121489655E-5</v>
      </c>
      <c r="U233" s="15">
        <f t="shared" si="57"/>
        <v>2.2699999999999956</v>
      </c>
      <c r="V233">
        <f t="shared" si="71"/>
        <v>4.9991845608266532</v>
      </c>
      <c r="W233">
        <f t="shared" si="62"/>
        <v>8.1543917334681026E-4</v>
      </c>
      <c r="X233">
        <f t="shared" si="67"/>
        <v>0.85061685168076895</v>
      </c>
      <c r="Y233">
        <f t="shared" si="68"/>
        <v>-2.0867933311130571E-3</v>
      </c>
      <c r="Z233">
        <f t="shared" si="63"/>
        <v>2.0347218862216748E-3</v>
      </c>
      <c r="AA233">
        <f t="shared" si="64"/>
        <v>8.7418734146051946E-3</v>
      </c>
    </row>
    <row r="234" spans="8:27" x14ac:dyDescent="0.25">
      <c r="H234" s="15">
        <f t="shared" si="55"/>
        <v>2.2799999999999954</v>
      </c>
      <c r="I234" s="9">
        <f t="shared" si="58"/>
        <v>49.68824731492834</v>
      </c>
      <c r="J234">
        <f t="shared" si="69"/>
        <v>49.705635823118648</v>
      </c>
      <c r="K234">
        <f t="shared" si="72"/>
        <v>49.985187944278273</v>
      </c>
      <c r="M234" s="15">
        <f t="shared" si="56"/>
        <v>2.2799999999999954</v>
      </c>
      <c r="N234">
        <f t="shared" si="70"/>
        <v>1.9839498463288027E-3</v>
      </c>
      <c r="O234">
        <f t="shared" si="59"/>
        <v>6.5397926644017116E-3</v>
      </c>
      <c r="P234">
        <f t="shared" si="65"/>
        <v>-2.5882155014191116E-3</v>
      </c>
      <c r="Q234">
        <f t="shared" si="66"/>
        <v>-1.6735886398180824E-2</v>
      </c>
      <c r="R234">
        <f t="shared" si="60"/>
        <v>-4.9505067544715221E-3</v>
      </c>
      <c r="S234">
        <f t="shared" si="61"/>
        <v>2.8851042273943771E-5</v>
      </c>
      <c r="U234" s="15">
        <f t="shared" si="57"/>
        <v>2.2799999999999954</v>
      </c>
      <c r="V234">
        <f t="shared" si="71"/>
        <v>4.999204908045515</v>
      </c>
      <c r="W234">
        <f t="shared" si="62"/>
        <v>7.9509195448501657E-4</v>
      </c>
      <c r="X234">
        <f t="shared" si="67"/>
        <v>0.85062490433640814</v>
      </c>
      <c r="Y234">
        <f t="shared" si="68"/>
        <v>-2.0347218861793692E-3</v>
      </c>
      <c r="Z234">
        <f t="shared" si="63"/>
        <v>1.9839498463288027E-3</v>
      </c>
      <c r="AA234">
        <f t="shared" si="64"/>
        <v>8.5237425107305143E-3</v>
      </c>
    </row>
    <row r="235" spans="8:27" x14ac:dyDescent="0.25">
      <c r="H235" s="15">
        <f t="shared" si="55"/>
        <v>2.2899999999999952</v>
      </c>
      <c r="I235" s="9">
        <f t="shared" si="58"/>
        <v>49.695113321412016</v>
      </c>
      <c r="J235">
        <f t="shared" si="69"/>
        <v>49.712191323778669</v>
      </c>
      <c r="K235">
        <f t="shared" si="72"/>
        <v>49.985517809284566</v>
      </c>
      <c r="M235" s="15">
        <f t="shared" si="56"/>
        <v>2.2899999999999952</v>
      </c>
      <c r="N235">
        <f t="shared" si="70"/>
        <v>1.9344447787840874E-3</v>
      </c>
      <c r="O235">
        <f t="shared" si="59"/>
        <v>6.376609770291349E-3</v>
      </c>
      <c r="P235">
        <f t="shared" si="65"/>
        <v>-2.5236334892456461E-3</v>
      </c>
      <c r="Q235">
        <f t="shared" si="66"/>
        <v>-1.6318289411036257E-2</v>
      </c>
      <c r="R235">
        <f t="shared" si="60"/>
        <v>-4.8269717749159276E-3</v>
      </c>
      <c r="S235">
        <f t="shared" si="61"/>
        <v>2.8130799755895532E-5</v>
      </c>
      <c r="U235" s="15">
        <f t="shared" si="57"/>
        <v>2.2899999999999952</v>
      </c>
      <c r="V235">
        <f t="shared" si="71"/>
        <v>4.9992247475439786</v>
      </c>
      <c r="W235">
        <f t="shared" si="62"/>
        <v>7.7525245602139137E-4</v>
      </c>
      <c r="X235">
        <f t="shared" si="67"/>
        <v>0.85063275605846067</v>
      </c>
      <c r="Y235">
        <f t="shared" si="68"/>
        <v>-1.9839498463625205E-3</v>
      </c>
      <c r="Z235">
        <f t="shared" si="63"/>
        <v>1.9344447787840874E-3</v>
      </c>
      <c r="AA235">
        <f t="shared" si="64"/>
        <v>8.3110545490754362E-3</v>
      </c>
    </row>
    <row r="236" spans="8:27" x14ac:dyDescent="0.25">
      <c r="H236" s="15">
        <f t="shared" si="55"/>
        <v>2.2999999999999949</v>
      </c>
      <c r="I236" s="9">
        <f t="shared" si="58"/>
        <v>49.701828111732077</v>
      </c>
      <c r="J236">
        <f t="shared" si="69"/>
        <v>49.718600833206473</v>
      </c>
      <c r="K236">
        <f t="shared" si="72"/>
        <v>49.985840328185468</v>
      </c>
      <c r="M236" s="15">
        <f t="shared" si="56"/>
        <v>2.2999999999999949</v>
      </c>
      <c r="N236">
        <f t="shared" si="70"/>
        <v>1.8861750610349281E-3</v>
      </c>
      <c r="O236">
        <f t="shared" si="59"/>
        <v>6.2174986483895132E-3</v>
      </c>
      <c r="P236">
        <f t="shared" si="65"/>
        <v>-2.4606629471522418E-3</v>
      </c>
      <c r="Q236">
        <f t="shared" si="66"/>
        <v>-1.5911112190183582E-2</v>
      </c>
      <c r="R236">
        <f t="shared" si="60"/>
        <v>-4.7065200546155738E-3</v>
      </c>
      <c r="S236">
        <f t="shared" si="61"/>
        <v>2.742856088401753E-5</v>
      </c>
      <c r="U236" s="15">
        <f t="shared" si="57"/>
        <v>2.2999999999999949</v>
      </c>
      <c r="V236">
        <f t="shared" si="71"/>
        <v>4.9992440919917662</v>
      </c>
      <c r="W236">
        <f t="shared" si="62"/>
        <v>7.5590800823377435E-4</v>
      </c>
      <c r="X236">
        <f t="shared" si="67"/>
        <v>0.85064041186078199</v>
      </c>
      <c r="Y236">
        <f t="shared" si="68"/>
        <v>-1.9344447787617014E-3</v>
      </c>
      <c r="Z236">
        <f t="shared" si="63"/>
        <v>1.8861750610349281E-3</v>
      </c>
      <c r="AA236">
        <f t="shared" si="64"/>
        <v>8.1036737094244415E-3</v>
      </c>
    </row>
    <row r="237" spans="8:27" x14ac:dyDescent="0.25">
      <c r="H237" s="15">
        <f t="shared" si="55"/>
        <v>2.3099999999999947</v>
      </c>
      <c r="I237" s="9">
        <f t="shared" si="58"/>
        <v>49.708395016256489</v>
      </c>
      <c r="J237">
        <f t="shared" si="69"/>
        <v>49.724867602631981</v>
      </c>
      <c r="K237">
        <f t="shared" si="72"/>
        <v>49.986155664579009</v>
      </c>
      <c r="M237" s="15">
        <f t="shared" si="56"/>
        <v>2.3099999999999947</v>
      </c>
      <c r="N237">
        <f t="shared" si="70"/>
        <v>1.8391098604887725E-3</v>
      </c>
      <c r="O237">
        <f t="shared" si="59"/>
        <v>6.0623577004793282E-3</v>
      </c>
      <c r="P237">
        <f t="shared" si="65"/>
        <v>-2.3992636654078976E-3</v>
      </c>
      <c r="Q237">
        <f t="shared" si="66"/>
        <v>-1.5514094791018503E-2</v>
      </c>
      <c r="R237">
        <f t="shared" si="60"/>
        <v>-4.5890745969289432E-3</v>
      </c>
      <c r="S237">
        <f t="shared" si="61"/>
        <v>2.6743873991016791E-5</v>
      </c>
      <c r="U237" s="15">
        <f t="shared" si="57"/>
        <v>2.3099999999999947</v>
      </c>
      <c r="V237">
        <f t="shared" si="71"/>
        <v>4.9992629537423765</v>
      </c>
      <c r="W237">
        <f t="shared" si="62"/>
        <v>7.3704625762349707E-4</v>
      </c>
      <c r="X237">
        <f t="shared" si="67"/>
        <v>0.85064787663211128</v>
      </c>
      <c r="Y237">
        <f t="shared" si="68"/>
        <v>-1.8861750610277284E-3</v>
      </c>
      <c r="Z237">
        <f t="shared" si="63"/>
        <v>1.8391098604887725E-3</v>
      </c>
      <c r="AA237">
        <f t="shared" si="64"/>
        <v>7.9014675609681007E-3</v>
      </c>
    </row>
    <row r="238" spans="8:27" x14ac:dyDescent="0.25">
      <c r="H238" s="15">
        <f t="shared" ref="H238:H277" si="73">H237+$E$8</f>
        <v>2.3199999999999945</v>
      </c>
      <c r="I238" s="9">
        <f t="shared" si="58"/>
        <v>49.714817292005591</v>
      </c>
      <c r="J238">
        <f t="shared" si="69"/>
        <v>49.730994810880105</v>
      </c>
      <c r="K238">
        <f t="shared" si="72"/>
        <v>49.986463978419884</v>
      </c>
      <c r="M238" s="15">
        <f t="shared" ref="M238:M277" si="74">M237+$E$8</f>
        <v>2.3199999999999945</v>
      </c>
      <c r="N238">
        <f t="shared" si="70"/>
        <v>1.7932191145194831E-3</v>
      </c>
      <c r="O238">
        <f t="shared" si="59"/>
        <v>5.9110878634581546E-3</v>
      </c>
      <c r="P238">
        <f t="shared" si="65"/>
        <v>-2.3393964375882101E-3</v>
      </c>
      <c r="Q238">
        <f t="shared" si="66"/>
        <v>-1.5126983702117361E-2</v>
      </c>
      <c r="R238">
        <f t="shared" si="60"/>
        <v>-4.4745603161509412E-3</v>
      </c>
      <c r="S238">
        <f t="shared" si="61"/>
        <v>2.6076298045914215E-5</v>
      </c>
      <c r="U238" s="15">
        <f t="shared" ref="U238:U277" si="75">U237+$E$8</f>
        <v>2.3199999999999945</v>
      </c>
      <c r="V238">
        <f t="shared" si="71"/>
        <v>4.9992813448409814</v>
      </c>
      <c r="W238">
        <f t="shared" si="62"/>
        <v>7.1865515901858856E-4</v>
      </c>
      <c r="X238">
        <f t="shared" si="67"/>
        <v>0.85065515513919454</v>
      </c>
      <c r="Y238">
        <f t="shared" si="68"/>
        <v>-1.8391098604908507E-3</v>
      </c>
      <c r="Z238">
        <f t="shared" si="63"/>
        <v>1.7932191145194831E-3</v>
      </c>
      <c r="AA238">
        <f t="shared" si="64"/>
        <v>7.7043069779776374E-3</v>
      </c>
    </row>
    <row r="239" spans="8:27" x14ac:dyDescent="0.25">
      <c r="H239" s="15">
        <f t="shared" si="73"/>
        <v>2.3299999999999943</v>
      </c>
      <c r="I239" s="9">
        <f t="shared" si="58"/>
        <v>49.721098124267456</v>
      </c>
      <c r="J239">
        <f t="shared" si="69"/>
        <v>49.736985565983218</v>
      </c>
      <c r="K239">
        <f t="shared" si="72"/>
        <v>49.986765426100582</v>
      </c>
      <c r="M239" s="15">
        <f t="shared" si="74"/>
        <v>2.3299999999999943</v>
      </c>
      <c r="N239">
        <f t="shared" si="70"/>
        <v>1.7484735113579737E-3</v>
      </c>
      <c r="O239">
        <f t="shared" si="59"/>
        <v>5.7635925458552444E-3</v>
      </c>
      <c r="P239">
        <f t="shared" si="65"/>
        <v>-2.2810230355416431E-3</v>
      </c>
      <c r="Q239">
        <f t="shared" si="66"/>
        <v>-1.4749531760291021E-2</v>
      </c>
      <c r="R239">
        <f t="shared" si="60"/>
        <v>-4.3629040124189902E-3</v>
      </c>
      <c r="S239">
        <f t="shared" si="61"/>
        <v>2.5425403600636345E-5</v>
      </c>
      <c r="U239" s="15">
        <f t="shared" si="75"/>
        <v>2.3299999999999943</v>
      </c>
      <c r="V239">
        <f t="shared" si="71"/>
        <v>4.9992992770321267</v>
      </c>
      <c r="W239">
        <f t="shared" si="62"/>
        <v>7.0072296787326849E-4</v>
      </c>
      <c r="X239">
        <f t="shared" si="67"/>
        <v>0.85066225202982904</v>
      </c>
      <c r="Y239">
        <f t="shared" si="68"/>
        <v>-1.7932191145320076E-3</v>
      </c>
      <c r="Z239">
        <f t="shared" si="63"/>
        <v>1.7484735113579737E-3</v>
      </c>
      <c r="AA239">
        <f t="shared" si="64"/>
        <v>7.5120660572132181E-3</v>
      </c>
    </row>
    <row r="240" spans="8:27" x14ac:dyDescent="0.25">
      <c r="H240" s="15">
        <f t="shared" si="73"/>
        <v>2.3399999999999941</v>
      </c>
      <c r="I240" s="9">
        <f t="shared" si="58"/>
        <v>49.727240628177725</v>
      </c>
      <c r="J240">
        <f t="shared" si="69"/>
        <v>49.742842906757694</v>
      </c>
      <c r="K240">
        <f t="shared" si="72"/>
        <v>49.987060160530746</v>
      </c>
      <c r="M240" s="15">
        <f t="shared" si="74"/>
        <v>2.3399999999999941</v>
      </c>
      <c r="N240">
        <f t="shared" si="70"/>
        <v>1.7048444712337838E-3</v>
      </c>
      <c r="O240">
        <f t="shared" si="59"/>
        <v>5.6197775661785705E-3</v>
      </c>
      <c r="P240">
        <f t="shared" si="65"/>
        <v>-2.2241061849814741E-3</v>
      </c>
      <c r="Q240">
        <f t="shared" si="66"/>
        <v>-1.4381497967667391E-2</v>
      </c>
      <c r="R240">
        <f t="shared" si="60"/>
        <v>-4.2540343193269766E-3</v>
      </c>
      <c r="S240">
        <f t="shared" si="61"/>
        <v>2.4790772226904179E-5</v>
      </c>
      <c r="U240" s="15">
        <f t="shared" si="75"/>
        <v>2.3399999999999941</v>
      </c>
      <c r="V240">
        <f t="shared" si="71"/>
        <v>4.9993167617672407</v>
      </c>
      <c r="W240">
        <f t="shared" si="62"/>
        <v>6.8323823275928675E-4</v>
      </c>
      <c r="X240">
        <f t="shared" si="67"/>
        <v>0.85066917183583224</v>
      </c>
      <c r="Y240">
        <f t="shared" si="68"/>
        <v>-1.7484735113981742E-3</v>
      </c>
      <c r="Z240">
        <f t="shared" si="63"/>
        <v>1.7048444712337838E-3</v>
      </c>
      <c r="AA240">
        <f t="shared" si="64"/>
        <v>7.3246220374123538E-3</v>
      </c>
    </row>
    <row r="241" spans="8:27" x14ac:dyDescent="0.25">
      <c r="H241" s="15">
        <f t="shared" si="73"/>
        <v>2.3499999999999939</v>
      </c>
      <c r="I241" s="9">
        <f t="shared" si="58"/>
        <v>49.733247850264625</v>
      </c>
      <c r="J241">
        <f t="shared" si="69"/>
        <v>49.748569804345365</v>
      </c>
      <c r="K241">
        <f t="shared" si="72"/>
        <v>49.98734833121469</v>
      </c>
      <c r="M241" s="15">
        <f t="shared" si="74"/>
        <v>2.3499999999999939</v>
      </c>
      <c r="N241">
        <f t="shared" si="70"/>
        <v>1.662304128040514E-3</v>
      </c>
      <c r="O241">
        <f t="shared" si="59"/>
        <v>5.4795510929298141E-3</v>
      </c>
      <c r="P241">
        <f t="shared" si="65"/>
        <v>-2.1686095416859324E-3</v>
      </c>
      <c r="Q241">
        <f t="shared" si="66"/>
        <v>-1.4022647324875639E-2</v>
      </c>
      <c r="R241">
        <f t="shared" si="60"/>
        <v>-4.1478816502277006E-3</v>
      </c>
      <c r="S241">
        <f t="shared" si="61"/>
        <v>2.417199581879019E-5</v>
      </c>
      <c r="U241" s="15">
        <f t="shared" si="75"/>
        <v>2.3499999999999939</v>
      </c>
      <c r="V241">
        <f t="shared" si="71"/>
        <v>4.9993338102119527</v>
      </c>
      <c r="W241">
        <f t="shared" si="62"/>
        <v>6.6618978804733331E-4</v>
      </c>
      <c r="X241">
        <f t="shared" si="67"/>
        <v>0.85067591897593631</v>
      </c>
      <c r="Y241">
        <f t="shared" si="68"/>
        <v>-1.7048444711953437E-3</v>
      </c>
      <c r="Z241">
        <f t="shared" si="63"/>
        <v>1.662304128040514E-3</v>
      </c>
      <c r="AA241">
        <f t="shared" si="64"/>
        <v>7.1418552209703279E-3</v>
      </c>
    </row>
    <row r="242" spans="8:27" x14ac:dyDescent="0.25">
      <c r="H242" s="15">
        <f t="shared" si="73"/>
        <v>2.3599999999999937</v>
      </c>
      <c r="I242" s="9">
        <f t="shared" si="58"/>
        <v>49.739122769960005</v>
      </c>
      <c r="J242">
        <f t="shared" si="69"/>
        <v>49.754169163720633</v>
      </c>
      <c r="K242">
        <f t="shared" si="72"/>
        <v>49.987630084327286</v>
      </c>
      <c r="M242" s="15">
        <f t="shared" si="74"/>
        <v>2.3599999999999937</v>
      </c>
      <c r="N242">
        <f t="shared" si="70"/>
        <v>1.620825311538237E-3</v>
      </c>
      <c r="O242">
        <f t="shared" si="59"/>
        <v>5.3428235856473553E-3</v>
      </c>
      <c r="P242">
        <f t="shared" si="65"/>
        <v>-2.1144976682930467E-3</v>
      </c>
      <c r="Q242">
        <f t="shared" si="66"/>
        <v>-1.3672750728245878E-2</v>
      </c>
      <c r="R242">
        <f t="shared" si="60"/>
        <v>-4.0443781744676889E-3</v>
      </c>
      <c r="S242">
        <f t="shared" si="61"/>
        <v>2.3568677452980719E-5</v>
      </c>
      <c r="U242" s="15">
        <f t="shared" si="75"/>
        <v>2.3599999999999937</v>
      </c>
      <c r="V242">
        <f t="shared" si="71"/>
        <v>4.999350433253233</v>
      </c>
      <c r="W242">
        <f t="shared" si="62"/>
        <v>6.495667467669719E-4</v>
      </c>
      <c r="X242">
        <f t="shared" si="67"/>
        <v>0.85068249775861038</v>
      </c>
      <c r="Y242">
        <f t="shared" si="68"/>
        <v>-1.6623041280361406E-3</v>
      </c>
      <c r="Z242">
        <f t="shared" si="63"/>
        <v>1.620825311538237E-3</v>
      </c>
      <c r="AA242">
        <f t="shared" si="64"/>
        <v>6.9636488971855925E-3</v>
      </c>
    </row>
    <row r="243" spans="8:27" x14ac:dyDescent="0.25">
      <c r="H243" s="15">
        <f t="shared" si="73"/>
        <v>2.3699999999999934</v>
      </c>
      <c r="I243" s="9">
        <f t="shared" si="58"/>
        <v>49.744868301077034</v>
      </c>
      <c r="J243">
        <f t="shared" si="69"/>
        <v>49.759643825164005</v>
      </c>
      <c r="K243">
        <f t="shared" si="72"/>
        <v>49.987905562788072</v>
      </c>
      <c r="M243" s="15">
        <f t="shared" si="74"/>
        <v>2.3699999999999934</v>
      </c>
      <c r="N243">
        <f t="shared" si="70"/>
        <v>1.5803815297935602E-3</v>
      </c>
      <c r="O243">
        <f t="shared" si="59"/>
        <v>5.2095077382393624E-3</v>
      </c>
      <c r="P243">
        <f t="shared" si="65"/>
        <v>-2.0617360116736132E-3</v>
      </c>
      <c r="Q243">
        <f t="shared" si="66"/>
        <v>-1.333158474079929E-2</v>
      </c>
      <c r="R243">
        <f t="shared" si="60"/>
        <v>-3.9434577396982732E-3</v>
      </c>
      <c r="S243">
        <f t="shared" si="61"/>
        <v>2.2980429297334362E-5</v>
      </c>
      <c r="U243" s="15">
        <f t="shared" si="75"/>
        <v>2.3699999999999934</v>
      </c>
      <c r="V243">
        <f t="shared" si="71"/>
        <v>4.9993666415063487</v>
      </c>
      <c r="W243">
        <f t="shared" si="62"/>
        <v>6.333584936513148E-4</v>
      </c>
      <c r="X243">
        <f t="shared" si="67"/>
        <v>0.85068891238481248</v>
      </c>
      <c r="Y243">
        <f t="shared" si="68"/>
        <v>-1.6208253115657101E-3</v>
      </c>
      <c r="Z243">
        <f t="shared" si="63"/>
        <v>1.5803815297935602E-3</v>
      </c>
      <c r="AA243">
        <f t="shared" si="64"/>
        <v>6.7898892680329226E-3</v>
      </c>
    </row>
    <row r="244" spans="8:27" x14ac:dyDescent="0.25">
      <c r="H244" s="15">
        <f t="shared" si="73"/>
        <v>2.3799999999999932</v>
      </c>
      <c r="I244" s="9">
        <f t="shared" si="58"/>
        <v>49.750487293255382</v>
      </c>
      <c r="J244">
        <f t="shared" si="69"/>
        <v>49.764996565702852</v>
      </c>
      <c r="K244">
        <f t="shared" si="72"/>
        <v>49.988174906333761</v>
      </c>
      <c r="M244" s="15">
        <f t="shared" si="74"/>
        <v>2.3799999999999932</v>
      </c>
      <c r="N244">
        <f t="shared" si="70"/>
        <v>1.5409469523965775E-3</v>
      </c>
      <c r="O244">
        <f t="shared" si="59"/>
        <v>5.0795184229308777E-3</v>
      </c>
      <c r="P244">
        <f t="shared" si="65"/>
        <v>-2.0102908808677621E-3</v>
      </c>
      <c r="Q244">
        <f t="shared" si="66"/>
        <v>-1.2998931530848468E-2</v>
      </c>
      <c r="R244">
        <f t="shared" si="60"/>
        <v>-3.8450558561697488E-3</v>
      </c>
      <c r="S244">
        <f t="shared" si="61"/>
        <v>2.2406873785539572E-5</v>
      </c>
      <c r="U244" s="15">
        <f t="shared" si="75"/>
        <v>2.3799999999999932</v>
      </c>
      <c r="V244">
        <f t="shared" si="71"/>
        <v>4.9993824453216469</v>
      </c>
      <c r="W244">
        <f t="shared" si="62"/>
        <v>6.1755467835311606E-4</v>
      </c>
      <c r="X244">
        <f t="shared" si="67"/>
        <v>0.85069516695067249</v>
      </c>
      <c r="Y244">
        <f t="shared" si="68"/>
        <v>-1.5803815298198742E-3</v>
      </c>
      <c r="Z244">
        <f t="shared" si="63"/>
        <v>1.5409469523965775E-3</v>
      </c>
      <c r="AA244">
        <f t="shared" si="64"/>
        <v>6.6204653753274556E-3</v>
      </c>
    </row>
    <row r="245" spans="8:27" x14ac:dyDescent="0.25">
      <c r="H245" s="15">
        <f t="shared" si="73"/>
        <v>2.389999999999993</v>
      </c>
      <c r="I245" s="9">
        <f t="shared" si="58"/>
        <v>49.755982533374556</v>
      </c>
      <c r="J245">
        <f t="shared" si="69"/>
        <v>49.770230100520045</v>
      </c>
      <c r="K245">
        <f t="shared" si="72"/>
        <v>49.988438251589137</v>
      </c>
      <c r="M245" s="15">
        <f t="shared" si="74"/>
        <v>2.389999999999993</v>
      </c>
      <c r="N245">
        <f t="shared" si="70"/>
        <v>1.5024963938348799E-3</v>
      </c>
      <c r="O245">
        <f t="shared" si="59"/>
        <v>4.9527726358906052E-3</v>
      </c>
      <c r="P245">
        <f t="shared" si="65"/>
        <v>-1.9601294255736546E-3</v>
      </c>
      <c r="Q245">
        <f t="shared" si="66"/>
        <v>-1.2674578704027252E-2</v>
      </c>
      <c r="R245">
        <f t="shared" si="60"/>
        <v>-3.7491096506697794E-3</v>
      </c>
      <c r="S245">
        <f t="shared" si="61"/>
        <v>2.1847643127334559E-5</v>
      </c>
      <c r="U245" s="15">
        <f t="shared" si="75"/>
        <v>2.389999999999993</v>
      </c>
      <c r="V245">
        <f t="shared" si="71"/>
        <v>4.9993978547911713</v>
      </c>
      <c r="W245">
        <f t="shared" si="62"/>
        <v>6.0214520882873046E-4</v>
      </c>
      <c r="X245">
        <f t="shared" si="67"/>
        <v>0.85070126545010838</v>
      </c>
      <c r="Y245">
        <f t="shared" si="68"/>
        <v>-1.5409469524385599E-3</v>
      </c>
      <c r="Z245">
        <f t="shared" si="63"/>
        <v>1.5024963938348799E-3</v>
      </c>
      <c r="AA245">
        <f t="shared" si="64"/>
        <v>6.4552690297254856E-3</v>
      </c>
    </row>
    <row r="246" spans="8:27" x14ac:dyDescent="0.25">
      <c r="H246" s="15">
        <f t="shared" si="73"/>
        <v>2.3999999999999928</v>
      </c>
      <c r="I246" s="9">
        <f t="shared" si="58"/>
        <v>49.761356746936166</v>
      </c>
      <c r="J246">
        <f t="shared" si="69"/>
        <v>49.77534708433123</v>
      </c>
      <c r="K246">
        <f t="shared" si="72"/>
        <v>49.988695732136335</v>
      </c>
      <c r="M246" s="15">
        <f t="shared" si="74"/>
        <v>2.3999999999999928</v>
      </c>
      <c r="N246">
        <f t="shared" si="70"/>
        <v>1.4650052973281822E-3</v>
      </c>
      <c r="O246">
        <f t="shared" si="59"/>
        <v>4.8291894444114627E-3</v>
      </c>
      <c r="P246">
        <f t="shared" si="65"/>
        <v>-1.9112196151721442E-3</v>
      </c>
      <c r="Q246">
        <f t="shared" si="66"/>
        <v>-1.2358319147914246E-2</v>
      </c>
      <c r="R246">
        <f t="shared" si="60"/>
        <v>-3.6555578159202062E-3</v>
      </c>
      <c r="S246">
        <f t="shared" si="61"/>
        <v>2.1302378516938232E-5</v>
      </c>
      <c r="U246" s="15">
        <f t="shared" si="75"/>
        <v>2.3999999999999928</v>
      </c>
      <c r="V246">
        <f t="shared" si="71"/>
        <v>4.9994128797551101</v>
      </c>
      <c r="W246">
        <f t="shared" si="62"/>
        <v>5.8712024488993819E-4</v>
      </c>
      <c r="X246">
        <f t="shared" si="67"/>
        <v>0.85070721177737696</v>
      </c>
      <c r="Y246">
        <f t="shared" si="68"/>
        <v>-1.5024963938792268E-3</v>
      </c>
      <c r="Z246">
        <f t="shared" si="63"/>
        <v>1.4650052973281822E-3</v>
      </c>
      <c r="AA246">
        <f t="shared" si="64"/>
        <v>6.2941947417396449E-3</v>
      </c>
    </row>
    <row r="247" spans="8:27" x14ac:dyDescent="0.25">
      <c r="H247" s="15">
        <f t="shared" si="73"/>
        <v>2.4099999999999926</v>
      </c>
      <c r="I247" s="9">
        <f t="shared" si="58"/>
        <v>49.766612599415652</v>
      </c>
      <c r="J247">
        <f t="shared" si="69"/>
        <v>49.780350112731441</v>
      </c>
      <c r="K247">
        <f t="shared" si="72"/>
        <v>49.98894747858261</v>
      </c>
      <c r="M247" s="15">
        <f t="shared" si="74"/>
        <v>2.4099999999999926</v>
      </c>
      <c r="N247">
        <f t="shared" si="70"/>
        <v>1.42844971916898E-3</v>
      </c>
      <c r="O247">
        <f t="shared" si="59"/>
        <v>4.7086899351589592E-3</v>
      </c>
      <c r="P247">
        <f t="shared" si="65"/>
        <v>-1.863530218274292E-3</v>
      </c>
      <c r="Q247">
        <f t="shared" si="66"/>
        <v>-1.2049950925250349E-2</v>
      </c>
      <c r="R247">
        <f t="shared" si="60"/>
        <v>-3.5643405788950483E-3</v>
      </c>
      <c r="S247">
        <f t="shared" si="61"/>
        <v>2.0770730306045489E-5</v>
      </c>
      <c r="U247" s="15">
        <f t="shared" si="75"/>
        <v>2.4099999999999926</v>
      </c>
      <c r="V247">
        <f t="shared" si="71"/>
        <v>4.9994275298080835</v>
      </c>
      <c r="W247">
        <f t="shared" si="62"/>
        <v>5.7247019191652981E-4</v>
      </c>
      <c r="X247">
        <f t="shared" si="67"/>
        <v>0.85071300972956099</v>
      </c>
      <c r="Y247">
        <f t="shared" si="68"/>
        <v>-1.4650052973408378E-3</v>
      </c>
      <c r="Z247">
        <f t="shared" si="63"/>
        <v>1.42844971916898E-3</v>
      </c>
      <c r="AA247">
        <f t="shared" si="64"/>
        <v>6.1371396543279388E-3</v>
      </c>
    </row>
    <row r="248" spans="8:27" x14ac:dyDescent="0.25">
      <c r="H248" s="15">
        <f t="shared" si="73"/>
        <v>2.4199999999999924</v>
      </c>
      <c r="I248" s="9">
        <f t="shared" si="58"/>
        <v>49.771752697584333</v>
      </c>
      <c r="J248">
        <f t="shared" si="69"/>
        <v>49.785241723511724</v>
      </c>
      <c r="K248">
        <f t="shared" si="72"/>
        <v>49.989193618626601</v>
      </c>
      <c r="M248" s="15">
        <f t="shared" si="74"/>
        <v>2.4199999999999924</v>
      </c>
      <c r="N248">
        <f t="shared" si="70"/>
        <v>1.3928063133800295E-3</v>
      </c>
      <c r="O248">
        <f t="shared" si="59"/>
        <v>4.5911971637565387E-3</v>
      </c>
      <c r="P248">
        <f t="shared" si="65"/>
        <v>-1.8170307827797146E-3</v>
      </c>
      <c r="Q248">
        <f t="shared" si="66"/>
        <v>-1.1749277140242053E-2</v>
      </c>
      <c r="R248">
        <f t="shared" si="60"/>
        <v>-3.4753996626695422E-3</v>
      </c>
      <c r="S248">
        <f t="shared" si="61"/>
        <v>2.0252357787916599E-5</v>
      </c>
      <c r="U248" s="15">
        <f t="shared" si="75"/>
        <v>2.4199999999999924</v>
      </c>
      <c r="V248">
        <f t="shared" si="71"/>
        <v>4.9994418143052748</v>
      </c>
      <c r="W248">
        <f t="shared" si="62"/>
        <v>5.5818569472521062E-4</v>
      </c>
      <c r="X248">
        <f t="shared" si="67"/>
        <v>0.85071866300899424</v>
      </c>
      <c r="Y248">
        <f t="shared" si="68"/>
        <v>-1.428449719131919E-3</v>
      </c>
      <c r="Z248">
        <f t="shared" si="63"/>
        <v>1.3928063133800295E-3</v>
      </c>
      <c r="AA248">
        <f t="shared" si="64"/>
        <v>5.984003477136568E-3</v>
      </c>
    </row>
    <row r="249" spans="8:27" x14ac:dyDescent="0.25">
      <c r="H249" s="15">
        <f t="shared" si="73"/>
        <v>2.4299999999999922</v>
      </c>
      <c r="I249" s="9">
        <f t="shared" si="58"/>
        <v>49.776779590802285</v>
      </c>
      <c r="J249">
        <f t="shared" si="69"/>
        <v>49.790024397946432</v>
      </c>
      <c r="K249">
        <f t="shared" si="72"/>
        <v>49.989434277123081</v>
      </c>
      <c r="M249" s="15">
        <f t="shared" si="74"/>
        <v>2.4299999999999922</v>
      </c>
      <c r="N249">
        <f t="shared" si="70"/>
        <v>1.3580523167533341E-3</v>
      </c>
      <c r="O249">
        <f t="shared" si="59"/>
        <v>4.4766361056449815E-3</v>
      </c>
      <c r="P249">
        <f t="shared" si="65"/>
        <v>-1.7716916164327071E-3</v>
      </c>
      <c r="Q249">
        <f t="shared" si="66"/>
        <v>-1.1456105811155724E-2</v>
      </c>
      <c r="R249">
        <f t="shared" si="60"/>
        <v>-3.3886782491863846E-3</v>
      </c>
      <c r="S249">
        <f t="shared" si="61"/>
        <v>1.9746928985130315E-5</v>
      </c>
      <c r="U249" s="15">
        <f t="shared" si="75"/>
        <v>2.4299999999999922</v>
      </c>
      <c r="V249">
        <f t="shared" si="71"/>
        <v>4.9994557423684087</v>
      </c>
      <c r="W249">
        <f t="shared" si="62"/>
        <v>5.4425763159127172E-4</v>
      </c>
      <c r="X249">
        <f t="shared" si="67"/>
        <v>0.85072417522562582</v>
      </c>
      <c r="Y249">
        <f t="shared" si="68"/>
        <v>-1.3928063133938906E-3</v>
      </c>
      <c r="Z249">
        <f t="shared" si="63"/>
        <v>1.3580523167533341E-3</v>
      </c>
      <c r="AA249">
        <f t="shared" si="64"/>
        <v>5.8346884223983153E-3</v>
      </c>
    </row>
    <row r="250" spans="8:27" x14ac:dyDescent="0.25">
      <c r="H250" s="15">
        <f t="shared" si="73"/>
        <v>2.439999999999992</v>
      </c>
      <c r="I250" s="9">
        <f t="shared" si="58"/>
        <v>49.781695772282774</v>
      </c>
      <c r="J250">
        <f t="shared" si="69"/>
        <v>49.794700562051837</v>
      </c>
      <c r="K250">
        <f t="shared" si="72"/>
        <v>49.989669576146305</v>
      </c>
      <c r="M250" s="15">
        <f t="shared" si="74"/>
        <v>2.439999999999992</v>
      </c>
      <c r="N250">
        <f t="shared" si="70"/>
        <v>1.3241655342614701E-3</v>
      </c>
      <c r="O250">
        <f t="shared" si="59"/>
        <v>4.36493360845773E-3</v>
      </c>
      <c r="P250">
        <f t="shared" si="65"/>
        <v>-1.7274837678621935E-3</v>
      </c>
      <c r="Q250">
        <f t="shared" si="66"/>
        <v>-1.1170249718725142E-2</v>
      </c>
      <c r="R250">
        <f t="shared" si="60"/>
        <v>-3.3041209270859321E-3</v>
      </c>
      <c r="S250">
        <f t="shared" si="61"/>
        <v>1.9254119582758425E-5</v>
      </c>
      <c r="U250" s="15">
        <f t="shared" si="75"/>
        <v>2.439999999999992</v>
      </c>
      <c r="V250">
        <f t="shared" si="71"/>
        <v>4.9994693228915761</v>
      </c>
      <c r="W250">
        <f t="shared" si="62"/>
        <v>5.3067710842391591E-4</v>
      </c>
      <c r="X250">
        <f t="shared" si="67"/>
        <v>0.85072954989932592</v>
      </c>
      <c r="Y250">
        <f t="shared" si="68"/>
        <v>-1.3580523167355807E-3</v>
      </c>
      <c r="Z250">
        <f t="shared" si="63"/>
        <v>1.3241655342614701E-3</v>
      </c>
      <c r="AA250">
        <f t="shared" si="64"/>
        <v>5.6890991427192006E-3</v>
      </c>
    </row>
    <row r="251" spans="8:27" x14ac:dyDescent="0.25">
      <c r="H251" s="15">
        <f t="shared" si="73"/>
        <v>2.4499999999999917</v>
      </c>
      <c r="I251" s="9">
        <f t="shared" si="58"/>
        <v>49.786503680328771</v>
      </c>
      <c r="J251">
        <f t="shared" si="69"/>
        <v>49.799272587816759</v>
      </c>
      <c r="K251">
        <f t="shared" si="72"/>
        <v>49.989899635051941</v>
      </c>
      <c r="M251" s="15">
        <f t="shared" si="74"/>
        <v>2.4499999999999917</v>
      </c>
      <c r="N251">
        <f t="shared" si="70"/>
        <v>1.2911243249906109E-3</v>
      </c>
      <c r="O251">
        <f t="shared" si="59"/>
        <v>4.2560183448373092E-3</v>
      </c>
      <c r="P251">
        <f t="shared" si="65"/>
        <v>-1.6843790080957183E-3</v>
      </c>
      <c r="Q251">
        <f t="shared" si="66"/>
        <v>-1.0891526362042086E-2</v>
      </c>
      <c r="R251">
        <f t="shared" si="60"/>
        <v>-3.2216736879776874E-3</v>
      </c>
      <c r="S251">
        <f t="shared" si="61"/>
        <v>1.8773614424393882E-5</v>
      </c>
      <c r="U251" s="15">
        <f t="shared" si="75"/>
        <v>2.4499999999999917</v>
      </c>
      <c r="V251">
        <f t="shared" si="71"/>
        <v>4.999482564546919</v>
      </c>
      <c r="W251">
        <f t="shared" si="62"/>
        <v>5.1743545308102767E-4</v>
      </c>
      <c r="X251">
        <f t="shared" si="67"/>
        <v>0.85073479046213341</v>
      </c>
      <c r="Y251">
        <f t="shared" si="68"/>
        <v>-1.3241655342888237E-3</v>
      </c>
      <c r="Z251">
        <f t="shared" si="63"/>
        <v>1.2911243249906109E-3</v>
      </c>
      <c r="AA251">
        <f t="shared" si="64"/>
        <v>5.5471426698279203E-3</v>
      </c>
    </row>
    <row r="252" spans="8:27" x14ac:dyDescent="0.25">
      <c r="H252" s="15">
        <f t="shared" si="73"/>
        <v>2.4599999999999915</v>
      </c>
      <c r="I252" s="9">
        <f t="shared" si="58"/>
        <v>49.791205699542388</v>
      </c>
      <c r="J252">
        <f t="shared" si="69"/>
        <v>49.803742794405728</v>
      </c>
      <c r="K252">
        <f t="shared" si="72"/>
        <v>49.990124570537589</v>
      </c>
      <c r="M252" s="15">
        <f t="shared" si="74"/>
        <v>2.4599999999999915</v>
      </c>
      <c r="N252">
        <f t="shared" si="70"/>
        <v>1.258907588110834E-3</v>
      </c>
      <c r="O252">
        <f t="shared" si="59"/>
        <v>4.1498207673833845E-3</v>
      </c>
      <c r="P252">
        <f t="shared" si="65"/>
        <v>-1.6423498125346149E-3</v>
      </c>
      <c r="Q252">
        <f t="shared" si="66"/>
        <v>-1.0619757745392467E-2</v>
      </c>
      <c r="R252">
        <f t="shared" si="60"/>
        <v>-3.141283855497536E-3</v>
      </c>
      <c r="S252">
        <f t="shared" si="61"/>
        <v>1.8305105360229799E-5</v>
      </c>
      <c r="U252" s="15">
        <f t="shared" si="75"/>
        <v>2.4599999999999915</v>
      </c>
      <c r="V252">
        <f t="shared" si="71"/>
        <v>4.9994954757901686</v>
      </c>
      <c r="W252">
        <f t="shared" si="62"/>
        <v>5.0452420983138069E-4</v>
      </c>
      <c r="X252">
        <f t="shared" si="67"/>
        <v>0.85073990026044799</v>
      </c>
      <c r="Y252">
        <f t="shared" si="68"/>
        <v>-1.2911243249646986E-3</v>
      </c>
      <c r="Z252">
        <f t="shared" si="63"/>
        <v>1.258907588110834E-3</v>
      </c>
      <c r="AA252">
        <f t="shared" si="64"/>
        <v>5.4087283554942189E-3</v>
      </c>
    </row>
    <row r="253" spans="8:27" x14ac:dyDescent="0.25">
      <c r="H253" s="15">
        <f t="shared" si="73"/>
        <v>2.4699999999999913</v>
      </c>
      <c r="I253" s="9">
        <f t="shared" si="58"/>
        <v>49.795804162007485</v>
      </c>
      <c r="J253">
        <f t="shared" si="69"/>
        <v>49.808113449335409</v>
      </c>
      <c r="K253">
        <f t="shared" si="72"/>
        <v>49.990344496701994</v>
      </c>
      <c r="M253" s="15">
        <f t="shared" si="74"/>
        <v>2.4699999999999913</v>
      </c>
      <c r="N253">
        <f t="shared" si="70"/>
        <v>1.2274947495558586E-3</v>
      </c>
      <c r="O253">
        <f t="shared" si="59"/>
        <v>4.046273063779581E-3</v>
      </c>
      <c r="P253">
        <f t="shared" si="65"/>
        <v>-1.6013693433788001E-3</v>
      </c>
      <c r="Q253">
        <f t="shared" si="66"/>
        <v>-1.0354770360380353E-2</v>
      </c>
      <c r="R253">
        <f t="shared" si="60"/>
        <v>-3.0629000868497487E-3</v>
      </c>
      <c r="S253">
        <f t="shared" si="61"/>
        <v>1.7848292938642089E-5</v>
      </c>
      <c r="U253" s="15">
        <f t="shared" si="75"/>
        <v>2.4699999999999913</v>
      </c>
      <c r="V253">
        <f t="shared" si="71"/>
        <v>4.9995080648660499</v>
      </c>
      <c r="W253">
        <f t="shared" si="62"/>
        <v>4.9193513395007216E-4</v>
      </c>
      <c r="X253">
        <f t="shared" si="67"/>
        <v>0.85074488255716685</v>
      </c>
      <c r="Y253">
        <f t="shared" si="68"/>
        <v>-1.2589075881308531E-3</v>
      </c>
      <c r="Z253">
        <f t="shared" si="63"/>
        <v>1.2274947495558586E-3</v>
      </c>
      <c r="AA253">
        <f t="shared" si="64"/>
        <v>5.2737678133354393E-3</v>
      </c>
    </row>
    <row r="254" spans="8:27" x14ac:dyDescent="0.25">
      <c r="H254" s="15">
        <f t="shared" si="73"/>
        <v>2.4799999999999911</v>
      </c>
      <c r="I254" s="9">
        <f t="shared" si="58"/>
        <v>49.800301348446389</v>
      </c>
      <c r="J254">
        <f t="shared" si="69"/>
        <v>49.81238676962478</v>
      </c>
      <c r="K254">
        <f t="shared" si="72"/>
        <v>49.990559525102917</v>
      </c>
      <c r="M254" s="15">
        <f t="shared" si="74"/>
        <v>2.4799999999999911</v>
      </c>
      <c r="N254">
        <f t="shared" si="70"/>
        <v>1.1968657486873611E-3</v>
      </c>
      <c r="O254">
        <f t="shared" si="59"/>
        <v>3.9453091139749685E-3</v>
      </c>
      <c r="P254">
        <f t="shared" si="65"/>
        <v>-1.5614114324900273E-3</v>
      </c>
      <c r="Q254">
        <f t="shared" si="66"/>
        <v>-1.0096394980461249E-2</v>
      </c>
      <c r="R254">
        <f t="shared" si="60"/>
        <v>-2.9864723043421916E-3</v>
      </c>
      <c r="S254">
        <f t="shared" si="61"/>
        <v>1.7402884304811364E-5</v>
      </c>
      <c r="U254" s="15">
        <f t="shared" si="75"/>
        <v>2.4799999999999911</v>
      </c>
      <c r="V254">
        <f t="shared" si="71"/>
        <v>4.9995203398135457</v>
      </c>
      <c r="W254">
        <f t="shared" si="62"/>
        <v>4.7966018645428932E-4</v>
      </c>
      <c r="X254">
        <f t="shared" si="67"/>
        <v>0.85074974053376884</v>
      </c>
      <c r="Y254">
        <f t="shared" si="68"/>
        <v>-1.227494749578284E-3</v>
      </c>
      <c r="Z254">
        <f t="shared" si="63"/>
        <v>1.1968657486873611E-3</v>
      </c>
      <c r="AA254">
        <f t="shared" si="64"/>
        <v>5.1421748626623298E-3</v>
      </c>
    </row>
    <row r="255" spans="8:27" x14ac:dyDescent="0.25">
      <c r="H255" s="15">
        <f t="shared" si="73"/>
        <v>2.4899999999999909</v>
      </c>
      <c r="I255" s="9">
        <f t="shared" si="58"/>
        <v>49.80469948935103</v>
      </c>
      <c r="J255">
        <f t="shared" si="69"/>
        <v>49.816564922919738</v>
      </c>
      <c r="K255">
        <f t="shared" si="72"/>
        <v>49.99076976481372</v>
      </c>
      <c r="M255" s="15">
        <f t="shared" si="74"/>
        <v>2.4899999999999909</v>
      </c>
      <c r="N255">
        <f t="shared" si="70"/>
        <v>1.1670010256439392E-3</v>
      </c>
      <c r="O255">
        <f t="shared" si="59"/>
        <v>3.8468644475939603E-3</v>
      </c>
      <c r="P255">
        <f t="shared" si="65"/>
        <v>-1.5224505646821826E-3</v>
      </c>
      <c r="Q255">
        <f t="shared" si="66"/>
        <v>-9.8444666381008149E-3</v>
      </c>
      <c r="R255">
        <f t="shared" si="60"/>
        <v>-2.911951693100059E-3</v>
      </c>
      <c r="S255">
        <f t="shared" si="61"/>
        <v>1.6968594604000603E-5</v>
      </c>
      <c r="U255" s="15">
        <f t="shared" si="75"/>
        <v>2.4899999999999909</v>
      </c>
      <c r="V255">
        <f t="shared" si="71"/>
        <v>4.999532308471033</v>
      </c>
      <c r="W255">
        <f t="shared" si="62"/>
        <v>4.6769152896697364E-4</v>
      </c>
      <c r="X255">
        <f t="shared" si="67"/>
        <v>0.85075447729234599</v>
      </c>
      <c r="Y255">
        <f t="shared" si="68"/>
        <v>-1.1968657487315681E-3</v>
      </c>
      <c r="Z255">
        <f t="shared" si="63"/>
        <v>1.1670010256439392E-3</v>
      </c>
      <c r="AA255">
        <f t="shared" si="64"/>
        <v>5.0138654732378996E-3</v>
      </c>
    </row>
    <row r="256" spans="8:27" x14ac:dyDescent="0.25">
      <c r="H256" s="15">
        <f t="shared" si="73"/>
        <v>2.4999999999999907</v>
      </c>
      <c r="I256" s="9">
        <f t="shared" si="58"/>
        <v>49.80900076608927</v>
      </c>
      <c r="J256">
        <f t="shared" si="69"/>
        <v>49.820650028592617</v>
      </c>
      <c r="K256">
        <f t="shared" si="72"/>
        <v>49.990975322478711</v>
      </c>
      <c r="M256" s="15">
        <f t="shared" si="74"/>
        <v>2.4999999999999907</v>
      </c>
      <c r="N256">
        <f t="shared" si="70"/>
        <v>1.1378815087129386E-3</v>
      </c>
      <c r="O256">
        <f t="shared" si="59"/>
        <v>3.7508762029682414E-3</v>
      </c>
      <c r="P256">
        <f t="shared" si="65"/>
        <v>-1.4844618614293715E-3</v>
      </c>
      <c r="Q256">
        <f t="shared" si="66"/>
        <v>-9.5988244625718963E-3</v>
      </c>
      <c r="R256">
        <f t="shared" si="60"/>
        <v>-2.839290651811439E-3</v>
      </c>
      <c r="S256">
        <f t="shared" si="61"/>
        <v>1.6545145836093823E-5</v>
      </c>
      <c r="U256" s="15">
        <f t="shared" si="75"/>
        <v>2.4999999999999907</v>
      </c>
      <c r="V256">
        <f t="shared" si="71"/>
        <v>4.9995439784812898</v>
      </c>
      <c r="W256">
        <f t="shared" si="62"/>
        <v>4.5602151871015906E-4</v>
      </c>
      <c r="X256">
        <f t="shared" si="67"/>
        <v>0.85075909585758436</v>
      </c>
      <c r="Y256">
        <f t="shared" si="68"/>
        <v>-1.1670010256814578E-3</v>
      </c>
      <c r="Z256">
        <f t="shared" si="63"/>
        <v>1.1378815087129386E-3</v>
      </c>
      <c r="AA256">
        <f t="shared" si="64"/>
        <v>4.8887577116811798E-3</v>
      </c>
    </row>
    <row r="257" spans="8:27" x14ac:dyDescent="0.25">
      <c r="H257" s="15">
        <f t="shared" si="73"/>
        <v>2.5099999999999905</v>
      </c>
      <c r="I257" s="9">
        <f t="shared" si="58"/>
        <v>49.813207311986716</v>
      </c>
      <c r="J257">
        <f t="shared" si="69"/>
        <v>49.824644158817264</v>
      </c>
      <c r="K257">
        <f t="shared" si="72"/>
        <v>49.991176302367208</v>
      </c>
      <c r="M257" s="15">
        <f t="shared" si="74"/>
        <v>2.5099999999999905</v>
      </c>
      <c r="N257">
        <f t="shared" si="70"/>
        <v>1.1094886021948242E-3</v>
      </c>
      <c r="O257">
        <f t="shared" si="59"/>
        <v>3.6572830869018476E-3</v>
      </c>
      <c r="P257">
        <f t="shared" si="65"/>
        <v>-1.4474210649800211E-3</v>
      </c>
      <c r="Q257">
        <f t="shared" si="66"/>
        <v>-9.3593116066393797E-3</v>
      </c>
      <c r="R257">
        <f t="shared" si="60"/>
        <v>-2.7684427713685991E-3</v>
      </c>
      <c r="S257">
        <f t="shared" si="61"/>
        <v>1.6132267162804331E-5</v>
      </c>
      <c r="U257" s="15">
        <f t="shared" si="75"/>
        <v>2.5099999999999905</v>
      </c>
      <c r="V257">
        <f t="shared" si="71"/>
        <v>4.9995553572963773</v>
      </c>
      <c r="W257">
        <f t="shared" si="62"/>
        <v>4.4464270362265523E-4</v>
      </c>
      <c r="X257">
        <f t="shared" si="67"/>
        <v>0.85076359917869604</v>
      </c>
      <c r="Y257">
        <f t="shared" si="68"/>
        <v>-1.1378815087503824E-3</v>
      </c>
      <c r="Z257">
        <f t="shared" si="63"/>
        <v>1.1094886021948242E-3</v>
      </c>
      <c r="AA257">
        <f t="shared" si="64"/>
        <v>4.7667716890966716E-3</v>
      </c>
    </row>
    <row r="258" spans="8:27" x14ac:dyDescent="0.25">
      <c r="H258" s="15">
        <f t="shared" si="73"/>
        <v>2.5199999999999902</v>
      </c>
      <c r="I258" s="9">
        <f t="shared" si="58"/>
        <v>49.817321213384893</v>
      </c>
      <c r="J258">
        <f t="shared" si="69"/>
        <v>49.828549339620139</v>
      </c>
      <c r="K258">
        <f t="shared" si="72"/>
        <v>49.991372806426462</v>
      </c>
      <c r="M258" s="15">
        <f t="shared" si="74"/>
        <v>2.5199999999999902</v>
      </c>
      <c r="N258">
        <f t="shared" si="70"/>
        <v>1.0818041744811383E-3</v>
      </c>
      <c r="O258">
        <f t="shared" si="59"/>
        <v>3.5660253356046608E-3</v>
      </c>
      <c r="P258">
        <f t="shared" si="65"/>
        <v>-1.4113045228674886E-3</v>
      </c>
      <c r="Q258">
        <f t="shared" si="66"/>
        <v>-9.1257751297186759E-3</v>
      </c>
      <c r="R258">
        <f t="shared" si="60"/>
        <v>-2.6993627994188634E-3</v>
      </c>
      <c r="S258">
        <f t="shared" si="61"/>
        <v>1.5729694425307972E-5</v>
      </c>
      <c r="U258" s="15">
        <f t="shared" si="75"/>
        <v>2.5199999999999902</v>
      </c>
      <c r="V258">
        <f t="shared" si="71"/>
        <v>4.9995664521823997</v>
      </c>
      <c r="W258">
        <f t="shared" si="62"/>
        <v>4.3354781760029937E-4</v>
      </c>
      <c r="X258">
        <f t="shared" si="67"/>
        <v>0.85076799013130211</v>
      </c>
      <c r="Y258">
        <f t="shared" si="68"/>
        <v>-1.1094886022355865E-3</v>
      </c>
      <c r="Z258">
        <f t="shared" si="63"/>
        <v>1.0818041744811383E-3</v>
      </c>
      <c r="AA258">
        <f t="shared" si="64"/>
        <v>4.6478295100857991E-3</v>
      </c>
    </row>
    <row r="259" spans="8:27" x14ac:dyDescent="0.25">
      <c r="H259" s="15">
        <f t="shared" si="73"/>
        <v>2.52999999999999</v>
      </c>
      <c r="I259" s="9">
        <f t="shared" si="58"/>
        <v>49.821344510675949</v>
      </c>
      <c r="J259">
        <f t="shared" si="69"/>
        <v>49.832367551908021</v>
      </c>
      <c r="K259">
        <f t="shared" si="72"/>
        <v>49.991564934333347</v>
      </c>
      <c r="M259" s="15">
        <f t="shared" si="74"/>
        <v>2.52999999999999</v>
      </c>
      <c r="N259">
        <f t="shared" si="70"/>
        <v>1.0548105464869497E-3</v>
      </c>
      <c r="O259">
        <f t="shared" si="59"/>
        <v>3.4770446765219685E-3</v>
      </c>
      <c r="P259">
        <f t="shared" si="65"/>
        <v>-1.3760891728068555E-3</v>
      </c>
      <c r="Q259">
        <f t="shared" si="66"/>
        <v>-8.8980659082692291E-3</v>
      </c>
      <c r="R259">
        <f t="shared" si="60"/>
        <v>-2.6320066132899424E-3</v>
      </c>
      <c r="S259">
        <f t="shared" si="61"/>
        <v>1.5337170073032296E-5</v>
      </c>
      <c r="U259" s="15">
        <f t="shared" si="75"/>
        <v>2.52999999999999</v>
      </c>
      <c r="V259">
        <f t="shared" si="71"/>
        <v>4.9995772702241448</v>
      </c>
      <c r="W259">
        <f t="shared" si="62"/>
        <v>4.2272977585522398E-4</v>
      </c>
      <c r="X259">
        <f t="shared" si="67"/>
        <v>0.85077227151926937</v>
      </c>
      <c r="Y259">
        <f t="shared" si="68"/>
        <v>-1.0818041745075391E-3</v>
      </c>
      <c r="Z259">
        <f t="shared" si="63"/>
        <v>1.0548105464869497E-3</v>
      </c>
      <c r="AA259">
        <f t="shared" si="64"/>
        <v>4.5318552230089182E-3</v>
      </c>
    </row>
    <row r="260" spans="8:27" x14ac:dyDescent="0.25">
      <c r="H260" s="15">
        <f t="shared" si="73"/>
        <v>2.5399999999999898</v>
      </c>
      <c r="I260" s="9">
        <f t="shared" si="58"/>
        <v>49.825279199314672</v>
      </c>
      <c r="J260">
        <f t="shared" si="69"/>
        <v>49.836100732472822</v>
      </c>
      <c r="K260">
        <f t="shared" si="72"/>
        <v>49.991752783544932</v>
      </c>
      <c r="M260" s="15">
        <f t="shared" si="74"/>
        <v>2.5399999999999898</v>
      </c>
      <c r="N260">
        <f t="shared" si="70"/>
        <v>1.0284904803540503E-3</v>
      </c>
      <c r="O260">
        <f t="shared" si="59"/>
        <v>3.3902842911011969E-3</v>
      </c>
      <c r="P260">
        <f t="shared" si="65"/>
        <v>-1.3417525279687396E-3</v>
      </c>
      <c r="Q260">
        <f t="shared" si="66"/>
        <v>-8.6760385420771649E-3</v>
      </c>
      <c r="R260">
        <f t="shared" si="60"/>
        <v>-2.5663311929579494E-3</v>
      </c>
      <c r="S260">
        <f t="shared" si="61"/>
        <v>1.4954443062075926E-5</v>
      </c>
      <c r="U260" s="15">
        <f t="shared" si="75"/>
        <v>2.5399999999999898</v>
      </c>
      <c r="V260">
        <f t="shared" si="71"/>
        <v>4.9995878183296094</v>
      </c>
      <c r="W260">
        <f t="shared" si="62"/>
        <v>4.1218167039058784E-4</v>
      </c>
      <c r="X260">
        <f t="shared" si="67"/>
        <v>0.8507764460765006</v>
      </c>
      <c r="Y260">
        <f t="shared" si="68"/>
        <v>-1.0548105464636137E-3</v>
      </c>
      <c r="Z260">
        <f t="shared" si="63"/>
        <v>1.0284904803540503E-3</v>
      </c>
      <c r="AA260">
        <f t="shared" si="64"/>
        <v>4.4187747714552472E-3</v>
      </c>
    </row>
    <row r="261" spans="8:27" x14ac:dyDescent="0.25">
      <c r="H261" s="15">
        <f t="shared" si="73"/>
        <v>2.5499999999999896</v>
      </c>
      <c r="I261" s="9">
        <f t="shared" si="58"/>
        <v>49.829127230808169</v>
      </c>
      <c r="J261">
        <f t="shared" si="69"/>
        <v>49.839750774974036</v>
      </c>
      <c r="K261">
        <f t="shared" si="72"/>
        <v>49.991936449347911</v>
      </c>
      <c r="M261" s="15">
        <f t="shared" si="74"/>
        <v>2.5499999999999896</v>
      </c>
      <c r="N261">
        <f t="shared" si="70"/>
        <v>1.0028271684244707E-3</v>
      </c>
      <c r="O261">
        <f t="shared" si="59"/>
        <v>3.3056887784536177E-3</v>
      </c>
      <c r="P261">
        <f t="shared" si="65"/>
        <v>-1.3082726626209656E-3</v>
      </c>
      <c r="Q261">
        <f t="shared" si="66"/>
        <v>-8.4595512647579144E-3</v>
      </c>
      <c r="R261">
        <f t="shared" si="60"/>
        <v>-2.5022945963062292E-3</v>
      </c>
      <c r="S261">
        <f t="shared" si="61"/>
        <v>1.4581268845171875E-5</v>
      </c>
      <c r="U261" s="15">
        <f t="shared" si="75"/>
        <v>2.5499999999999896</v>
      </c>
      <c r="V261">
        <f t="shared" si="71"/>
        <v>4.9995981032344128</v>
      </c>
      <c r="W261">
        <f t="shared" si="62"/>
        <v>4.0189676558721743E-4</v>
      </c>
      <c r="X261">
        <f t="shared" si="67"/>
        <v>0.85078051646868047</v>
      </c>
      <c r="Y261">
        <f t="shared" si="68"/>
        <v>-1.0284904803370409E-3</v>
      </c>
      <c r="Z261">
        <f t="shared" si="63"/>
        <v>1.0028271684244707E-3</v>
      </c>
      <c r="AA261">
        <f t="shared" si="64"/>
        <v>4.3085159468780887E-3</v>
      </c>
    </row>
    <row r="262" spans="8:27" x14ac:dyDescent="0.25">
      <c r="H262" s="15">
        <f t="shared" si="73"/>
        <v>2.5599999999999894</v>
      </c>
      <c r="I262" s="9">
        <f t="shared" si="58"/>
        <v>49.832890513683765</v>
      </c>
      <c r="J262">
        <f t="shared" si="69"/>
        <v>49.843319530899279</v>
      </c>
      <c r="K262">
        <f t="shared" si="72"/>
        <v>49.992116024906942</v>
      </c>
      <c r="M262" s="15">
        <f t="shared" si="74"/>
        <v>2.5599999999999894</v>
      </c>
      <c r="N262">
        <f t="shared" si="70"/>
        <v>9.7780422246140854E-4</v>
      </c>
      <c r="O262">
        <f t="shared" si="59"/>
        <v>3.2232041201666348E-3</v>
      </c>
      <c r="P262">
        <f t="shared" si="65"/>
        <v>-1.2756281981278644E-3</v>
      </c>
      <c r="Q262">
        <f t="shared" si="66"/>
        <v>-8.248465828698294E-3</v>
      </c>
      <c r="R262">
        <f t="shared" si="60"/>
        <v>-2.4398559207557563E-3</v>
      </c>
      <c r="S262">
        <f t="shared" si="61"/>
        <v>1.4217408593034803E-5</v>
      </c>
      <c r="U262" s="15">
        <f t="shared" si="75"/>
        <v>2.5599999999999894</v>
      </c>
      <c r="V262">
        <f t="shared" si="71"/>
        <v>4.999608131506097</v>
      </c>
      <c r="W262">
        <f t="shared" si="62"/>
        <v>3.9186849390304701E-4</v>
      </c>
      <c r="X262">
        <f t="shared" si="67"/>
        <v>0.85078448529497797</v>
      </c>
      <c r="Y262">
        <f t="shared" si="68"/>
        <v>-1.002827168417042E-3</v>
      </c>
      <c r="Z262">
        <f t="shared" si="63"/>
        <v>9.7780422246140854E-4</v>
      </c>
      <c r="AA262">
        <f t="shared" si="64"/>
        <v>4.2010083426280431E-3</v>
      </c>
    </row>
    <row r="263" spans="8:27" x14ac:dyDescent="0.25">
      <c r="H263" s="15">
        <f t="shared" si="73"/>
        <v>2.5699999999999892</v>
      </c>
      <c r="I263" s="9">
        <f t="shared" ref="I263:I306" si="76">DEGREES(-2*$E$5/$C$6*$C$9/$C$8*$C$18*(1-EXP(-$C$20*H263)))</f>
        <v>49.836570914435626</v>
      </c>
      <c r="J263">
        <f t="shared" si="69"/>
        <v>49.846808810503489</v>
      </c>
      <c r="K263">
        <f t="shared" si="72"/>
        <v>49.992291601311905</v>
      </c>
      <c r="M263" s="15">
        <f t="shared" si="74"/>
        <v>2.5699999999999892</v>
      </c>
      <c r="N263">
        <f t="shared" si="70"/>
        <v>9.5340566325385098E-4</v>
      </c>
      <c r="O263">
        <f t="shared" ref="O263:O306" si="77">AA263-N263</f>
        <v>3.1427776456454193E-3</v>
      </c>
      <c r="P263">
        <f t="shared" si="65"/>
        <v>-1.243798289298804E-3</v>
      </c>
      <c r="Q263">
        <f t="shared" si="66"/>
        <v>-8.0426474521215485E-3</v>
      </c>
      <c r="R263">
        <f t="shared" ref="R263:R306" si="78">DEGREES($E$6*$C$5*$C$6^2*$E$5/(4*$C$7)*$C$8*RADIANS(N263)+$E$6*$C$5*$C$6*$E$5^2/(2*$C$7)*$C$9*RADIANS(S263))</f>
        <v>-2.3789752898926929E-3</v>
      </c>
      <c r="S263">
        <f t="shared" ref="S263:S306" si="79">MAX(MIN($C$34*O263+$C$35*P263+$C$36*Q263,21.5),-21.5)</f>
        <v>1.3862629724397529E-5</v>
      </c>
      <c r="U263" s="15">
        <f t="shared" si="75"/>
        <v>2.5699999999999892</v>
      </c>
      <c r="V263">
        <f t="shared" si="71"/>
        <v>4.9996179095483217</v>
      </c>
      <c r="W263">
        <f t="shared" ref="W263:W306" si="80">$E$9-V263</f>
        <v>3.8209045167825195E-4</v>
      </c>
      <c r="X263">
        <f t="shared" si="67"/>
        <v>0.85078835508970585</v>
      </c>
      <c r="Y263">
        <f t="shared" si="68"/>
        <v>-9.7780422247950582E-4</v>
      </c>
      <c r="Z263">
        <f t="shared" ref="Z263:Z306" si="81">N263</f>
        <v>9.5340566325385098E-4</v>
      </c>
      <c r="AA263">
        <f t="shared" ref="AA263:AA306" si="82">$C$39*W263+$C$40*X263+$C$41*Y263</f>
        <v>4.0961833088992705E-3</v>
      </c>
    </row>
    <row r="264" spans="8:27" x14ac:dyDescent="0.25">
      <c r="H264" s="15">
        <f t="shared" si="73"/>
        <v>2.579999999999989</v>
      </c>
      <c r="I264" s="9">
        <f t="shared" si="76"/>
        <v>49.840170258450414</v>
      </c>
      <c r="J264">
        <f t="shared" si="69"/>
        <v>49.850220383727155</v>
      </c>
      <c r="K264">
        <f t="shared" si="72"/>
        <v>49.992463267624103</v>
      </c>
      <c r="M264" s="15">
        <f t="shared" si="74"/>
        <v>2.579999999999989</v>
      </c>
      <c r="N264">
        <f t="shared" si="70"/>
        <v>9.2961591035492399E-4</v>
      </c>
      <c r="O264">
        <f t="shared" si="77"/>
        <v>3.0643579985891465E-3</v>
      </c>
      <c r="P264">
        <f t="shared" ref="P264:P306" si="83">IF(ABS(S263)&gt;21, P263, P263+(O264+O263)*$E$8/2)</f>
        <v>-1.2127626110776312E-3</v>
      </c>
      <c r="Q264">
        <f t="shared" ref="Q264:Q306" si="84">(O264-O263)/$E$8</f>
        <v>-7.8419647056272856E-3</v>
      </c>
      <c r="R264">
        <f t="shared" si="78"/>
        <v>-2.3196138188112617E-3</v>
      </c>
      <c r="S264">
        <f t="shared" si="79"/>
        <v>1.3516705266136166E-5</v>
      </c>
      <c r="U264" s="15">
        <f t="shared" si="75"/>
        <v>2.579999999999989</v>
      </c>
      <c r="V264">
        <f t="shared" si="71"/>
        <v>4.9996274436049539</v>
      </c>
      <c r="W264">
        <f t="shared" si="80"/>
        <v>3.7255639504607529E-4</v>
      </c>
      <c r="X264">
        <f t="shared" ref="X264:X305" si="85">X263+(W264+W263)*$E$8/2</f>
        <v>0.85079212832393947</v>
      </c>
      <c r="Y264">
        <f t="shared" ref="Y264:Y306" si="86">(W264-W263)/$E$8</f>
        <v>-9.5340566321766573E-4</v>
      </c>
      <c r="Z264">
        <f t="shared" si="81"/>
        <v>9.2961591035492399E-4</v>
      </c>
      <c r="AA264">
        <f t="shared" si="82"/>
        <v>3.9939739089440707E-3</v>
      </c>
    </row>
    <row r="265" spans="8:27" x14ac:dyDescent="0.25">
      <c r="H265" s="15">
        <f t="shared" si="73"/>
        <v>2.5899999999999888</v>
      </c>
      <c r="I265" s="9">
        <f t="shared" si="76"/>
        <v>49.843690330912693</v>
      </c>
      <c r="J265">
        <f t="shared" ref="J265:J306" si="87">J264+$E$8*DEGREES($E$6*$C$5*$C$6^2*$E$5/(4*$C$7)*$C$8*RADIANS(J264) +$E$6*$C$5*$C$6*$E$5^2/(2*$C$7)*$C$9*$C$18)</f>
        <v>49.853555981094118</v>
      </c>
      <c r="K265">
        <f t="shared" si="72"/>
        <v>49.992631110921437</v>
      </c>
      <c r="M265" s="15">
        <f t="shared" si="74"/>
        <v>2.5899999999999888</v>
      </c>
      <c r="N265">
        <f t="shared" ref="N265:N306" si="88">N264+$E$8*R264</f>
        <v>9.0641977216681139E-4</v>
      </c>
      <c r="O265">
        <f t="shared" si="77"/>
        <v>2.9878951039484345E-3</v>
      </c>
      <c r="P265">
        <f t="shared" si="83"/>
        <v>-1.1825013455649433E-3</v>
      </c>
      <c r="Q265">
        <f t="shared" si="84"/>
        <v>-7.6462894640712004E-3</v>
      </c>
      <c r="R265">
        <f t="shared" si="78"/>
        <v>-2.2617336052284734E-3</v>
      </c>
      <c r="S265">
        <f t="shared" si="79"/>
        <v>1.3179414568559918E-5</v>
      </c>
      <c r="U265" s="15">
        <f t="shared" si="75"/>
        <v>2.5899999999999888</v>
      </c>
      <c r="V265">
        <f t="shared" ref="V265:V306" si="89">V264+$E$8*Z264</f>
        <v>4.9996367397640578</v>
      </c>
      <c r="W265">
        <f t="shared" si="80"/>
        <v>3.632602359422421E-4</v>
      </c>
      <c r="X265">
        <f t="shared" si="85"/>
        <v>0.85079580740709437</v>
      </c>
      <c r="Y265">
        <f t="shared" si="86"/>
        <v>-9.2961591038331903E-4</v>
      </c>
      <c r="Z265">
        <f t="shared" si="81"/>
        <v>9.0641977216681139E-4</v>
      </c>
      <c r="AA265">
        <f t="shared" si="82"/>
        <v>3.8943148761152457E-3</v>
      </c>
    </row>
    <row r="266" spans="8:27" x14ac:dyDescent="0.25">
      <c r="H266" s="15">
        <f t="shared" si="73"/>
        <v>2.5999999999999885</v>
      </c>
      <c r="I266" s="9">
        <f t="shared" si="76"/>
        <v>49.847132877690328</v>
      </c>
      <c r="J266">
        <f t="shared" si="87"/>
        <v>49.856817294589412</v>
      </c>
      <c r="K266">
        <f t="shared" si="72"/>
        <v>49.992795216342586</v>
      </c>
      <c r="M266" s="15">
        <f t="shared" si="74"/>
        <v>2.5999999999999885</v>
      </c>
      <c r="N266">
        <f t="shared" si="88"/>
        <v>8.838024361145267E-4</v>
      </c>
      <c r="O266">
        <f t="shared" si="77"/>
        <v>2.9133401364725931E-3</v>
      </c>
      <c r="P266">
        <f t="shared" si="83"/>
        <v>-1.1529951693628382E-3</v>
      </c>
      <c r="Q266">
        <f t="shared" si="84"/>
        <v>-7.4554967475841307E-3</v>
      </c>
      <c r="R266">
        <f t="shared" si="78"/>
        <v>-2.2052976714326232E-3</v>
      </c>
      <c r="S266">
        <f t="shared" si="79"/>
        <v>1.2850541344846134E-5</v>
      </c>
      <c r="U266" s="15">
        <f t="shared" si="75"/>
        <v>2.5999999999999885</v>
      </c>
      <c r="V266">
        <f t="shared" si="89"/>
        <v>4.999645803961779</v>
      </c>
      <c r="W266">
        <f t="shared" si="80"/>
        <v>3.5419603822095524E-4</v>
      </c>
      <c r="X266">
        <f t="shared" si="85"/>
        <v>0.85079939468846522</v>
      </c>
      <c r="Y266">
        <f t="shared" si="86"/>
        <v>-9.0641977212868596E-4</v>
      </c>
      <c r="Z266">
        <f t="shared" si="81"/>
        <v>8.838024361145267E-4</v>
      </c>
      <c r="AA266">
        <f t="shared" si="82"/>
        <v>3.79714257258712E-3</v>
      </c>
    </row>
    <row r="267" spans="8:27" x14ac:dyDescent="0.25">
      <c r="H267" s="15">
        <f t="shared" si="73"/>
        <v>2.6099999999999883</v>
      </c>
      <c r="I267" s="9">
        <f t="shared" si="76"/>
        <v>49.850499606200387</v>
      </c>
      <c r="J267">
        <f t="shared" si="87"/>
        <v>49.860005978517485</v>
      </c>
      <c r="K267">
        <f t="shared" si="72"/>
        <v>49.992955667130182</v>
      </c>
      <c r="M267" s="15">
        <f t="shared" si="74"/>
        <v>2.6099999999999883</v>
      </c>
      <c r="N267">
        <f t="shared" si="88"/>
        <v>8.6174945940020048E-4</v>
      </c>
      <c r="O267">
        <f t="shared" si="77"/>
        <v>2.8406454888539948E-3</v>
      </c>
      <c r="P267">
        <f t="shared" si="83"/>
        <v>-1.1242252412362052E-3</v>
      </c>
      <c r="Q267">
        <f t="shared" si="84"/>
        <v>-7.2694647618598389E-3</v>
      </c>
      <c r="R267">
        <f t="shared" si="78"/>
        <v>-2.1502699883481327E-3</v>
      </c>
      <c r="S267">
        <f t="shared" si="79"/>
        <v>1.2529876091634841E-5</v>
      </c>
      <c r="U267" s="15">
        <f t="shared" si="75"/>
        <v>2.6099999999999883</v>
      </c>
      <c r="V267">
        <f t="shared" si="89"/>
        <v>4.9996546419861403</v>
      </c>
      <c r="W267">
        <f t="shared" si="80"/>
        <v>3.4535801385970899E-4</v>
      </c>
      <c r="X267">
        <f t="shared" si="85"/>
        <v>0.85080289245872565</v>
      </c>
      <c r="Y267">
        <f t="shared" si="86"/>
        <v>-8.838024361246255E-4</v>
      </c>
      <c r="Z267">
        <f t="shared" si="81"/>
        <v>8.6174945940020048E-4</v>
      </c>
      <c r="AA267">
        <f t="shared" si="82"/>
        <v>3.7023949482541951E-3</v>
      </c>
    </row>
    <row r="268" spans="8:27" x14ac:dyDescent="0.25">
      <c r="H268" s="15">
        <f t="shared" si="73"/>
        <v>2.6199999999999881</v>
      </c>
      <c r="I268" s="9">
        <f t="shared" si="76"/>
        <v>49.853792186255973</v>
      </c>
      <c r="J268">
        <f t="shared" si="87"/>
        <v>49.863123650341379</v>
      </c>
      <c r="K268">
        <f t="shared" si="72"/>
        <v>49.993112544673053</v>
      </c>
      <c r="M268" s="15">
        <f t="shared" si="74"/>
        <v>2.6199999999999881</v>
      </c>
      <c r="N268">
        <f t="shared" si="88"/>
        <v>8.4024675951671916E-4</v>
      </c>
      <c r="O268">
        <f t="shared" si="77"/>
        <v>2.7697647419498398E-3</v>
      </c>
      <c r="P268">
        <f t="shared" si="83"/>
        <v>-1.0961731900821861E-3</v>
      </c>
      <c r="Q268">
        <f t="shared" si="84"/>
        <v>-7.0880746904155006E-3</v>
      </c>
      <c r="R268">
        <f t="shared" si="78"/>
        <v>-2.0966154050864475E-3</v>
      </c>
      <c r="S268">
        <f t="shared" si="79"/>
        <v>1.2217213415405704E-5</v>
      </c>
      <c r="U268" s="15">
        <f t="shared" si="75"/>
        <v>2.6199999999999881</v>
      </c>
      <c r="V268">
        <f t="shared" si="89"/>
        <v>4.9996632594807346</v>
      </c>
      <c r="W268">
        <f t="shared" si="80"/>
        <v>3.3674051926535498E-4</v>
      </c>
      <c r="X268">
        <f t="shared" si="85"/>
        <v>0.85080630295139126</v>
      </c>
      <c r="Y268">
        <f t="shared" si="86"/>
        <v>-8.6174945943540138E-4</v>
      </c>
      <c r="Z268">
        <f t="shared" si="81"/>
        <v>8.4024675951671916E-4</v>
      </c>
      <c r="AA268">
        <f t="shared" si="82"/>
        <v>3.610011501466559E-3</v>
      </c>
    </row>
    <row r="269" spans="8:27" x14ac:dyDescent="0.25">
      <c r="H269" s="15">
        <f t="shared" si="73"/>
        <v>2.6299999999999879</v>
      </c>
      <c r="I269" s="9">
        <f t="shared" si="76"/>
        <v>49.857012250894378</v>
      </c>
      <c r="J269">
        <f t="shared" si="87"/>
        <v>49.866171891503178</v>
      </c>
      <c r="K269">
        <f t="shared" si="72"/>
        <v>49.99326592854748</v>
      </c>
      <c r="M269" s="15">
        <f t="shared" si="74"/>
        <v>2.6299999999999879</v>
      </c>
      <c r="N269">
        <f t="shared" si="88"/>
        <v>8.1928060546585467E-4</v>
      </c>
      <c r="O269">
        <f t="shared" si="77"/>
        <v>2.7006526347985952E-3</v>
      </c>
      <c r="P269">
        <f t="shared" si="83"/>
        <v>-1.0688211031984439E-3</v>
      </c>
      <c r="Q269">
        <f t="shared" si="84"/>
        <v>-6.9112107151244554E-3</v>
      </c>
      <c r="R269">
        <f t="shared" si="78"/>
        <v>-2.0442996573152494E-3</v>
      </c>
      <c r="S269">
        <f t="shared" si="79"/>
        <v>1.1912353546273628E-5</v>
      </c>
      <c r="U269" s="15">
        <f t="shared" si="75"/>
        <v>2.6299999999999879</v>
      </c>
      <c r="V269">
        <f t="shared" si="89"/>
        <v>4.9996716619483301</v>
      </c>
      <c r="W269">
        <f t="shared" si="80"/>
        <v>3.2833805166987418E-4</v>
      </c>
      <c r="X269">
        <f t="shared" si="85"/>
        <v>0.85080962834424589</v>
      </c>
      <c r="Y269">
        <f t="shared" si="86"/>
        <v>-8.4024675954808004E-4</v>
      </c>
      <c r="Z269">
        <f t="shared" si="81"/>
        <v>8.1928060546585467E-4</v>
      </c>
      <c r="AA269">
        <f t="shared" si="82"/>
        <v>3.5199332402644501E-3</v>
      </c>
    </row>
    <row r="270" spans="8:27" x14ac:dyDescent="0.25">
      <c r="H270" s="15">
        <f t="shared" si="73"/>
        <v>2.6399999999999877</v>
      </c>
      <c r="I270" s="9">
        <f t="shared" si="76"/>
        <v>49.86016139718712</v>
      </c>
      <c r="J270">
        <f t="shared" si="87"/>
        <v>49.869152248226186</v>
      </c>
      <c r="K270">
        <f t="shared" si="72"/>
        <v>49.993415896557579</v>
      </c>
      <c r="M270" s="15">
        <f t="shared" si="74"/>
        <v>2.6399999999999877</v>
      </c>
      <c r="N270">
        <f t="shared" si="88"/>
        <v>7.9883760889270215E-4</v>
      </c>
      <c r="O270">
        <f t="shared" si="77"/>
        <v>2.6332650357415253E-3</v>
      </c>
      <c r="P270">
        <f t="shared" si="83"/>
        <v>-1.0421515148457434E-3</v>
      </c>
      <c r="Q270">
        <f t="shared" si="84"/>
        <v>-6.7387599057069925E-3</v>
      </c>
      <c r="R270">
        <f t="shared" si="78"/>
        <v>-1.9932893376404868E-3</v>
      </c>
      <c r="S270">
        <f t="shared" si="79"/>
        <v>1.1615101802735922E-5</v>
      </c>
      <c r="U270" s="15">
        <f t="shared" si="75"/>
        <v>2.6399999999999877</v>
      </c>
      <c r="V270">
        <f t="shared" si="89"/>
        <v>4.999679854754385</v>
      </c>
      <c r="W270">
        <f t="shared" si="80"/>
        <v>3.2014524561496671E-4</v>
      </c>
      <c r="X270">
        <f t="shared" si="85"/>
        <v>0.85081287076073231</v>
      </c>
      <c r="Y270">
        <f t="shared" si="86"/>
        <v>-8.1928060549074644E-4</v>
      </c>
      <c r="Z270">
        <f t="shared" si="81"/>
        <v>7.9883760889270215E-4</v>
      </c>
      <c r="AA270">
        <f t="shared" si="82"/>
        <v>3.4321026446342273E-3</v>
      </c>
    </row>
    <row r="271" spans="8:27" x14ac:dyDescent="0.25">
      <c r="H271" s="15">
        <f t="shared" si="73"/>
        <v>2.6499999999999875</v>
      </c>
      <c r="I271" s="9">
        <f t="shared" si="76"/>
        <v>49.863241187031939</v>
      </c>
      <c r="J271">
        <f t="shared" si="87"/>
        <v>49.872066232299261</v>
      </c>
      <c r="K271">
        <f t="shared" si="72"/>
        <v>49.993562524774774</v>
      </c>
      <c r="M271" s="15">
        <f t="shared" si="74"/>
        <v>2.6499999999999875</v>
      </c>
      <c r="N271">
        <f t="shared" si="88"/>
        <v>7.7890471551629733E-4</v>
      </c>
      <c r="O271">
        <f t="shared" si="77"/>
        <v>2.5675589143689241E-3</v>
      </c>
      <c r="P271">
        <f t="shared" si="83"/>
        <v>-1.0161473950951912E-3</v>
      </c>
      <c r="Q271">
        <f t="shared" si="84"/>
        <v>-6.5706121372601217E-3</v>
      </c>
      <c r="R271">
        <f t="shared" si="78"/>
        <v>-1.9435518676495292E-3</v>
      </c>
      <c r="S271">
        <f t="shared" si="79"/>
        <v>1.1325268110708945E-5</v>
      </c>
      <c r="U271" s="15">
        <f t="shared" si="75"/>
        <v>2.6499999999999875</v>
      </c>
      <c r="V271">
        <f t="shared" si="89"/>
        <v>4.9996878431304737</v>
      </c>
      <c r="W271">
        <f t="shared" si="80"/>
        <v>3.1215686952634769E-4</v>
      </c>
      <c r="X271">
        <f t="shared" si="85"/>
        <v>0.85081603227130798</v>
      </c>
      <c r="Y271">
        <f t="shared" si="86"/>
        <v>-7.9883760886190203E-4</v>
      </c>
      <c r="Z271">
        <f t="shared" si="81"/>
        <v>7.7890471551629733E-4</v>
      </c>
      <c r="AA271">
        <f t="shared" si="82"/>
        <v>3.3464636298852213E-3</v>
      </c>
    </row>
    <row r="272" spans="8:27" x14ac:dyDescent="0.25">
      <c r="H272" s="15">
        <f t="shared" si="73"/>
        <v>2.6599999999999873</v>
      </c>
      <c r="I272" s="9">
        <f t="shared" si="76"/>
        <v>49.866253147927559</v>
      </c>
      <c r="J272">
        <f t="shared" si="87"/>
        <v>49.874915321843673</v>
      </c>
      <c r="K272">
        <f t="shared" si="72"/>
        <v>49.993705887576368</v>
      </c>
      <c r="M272" s="15">
        <f t="shared" si="74"/>
        <v>2.6599999999999873</v>
      </c>
      <c r="N272">
        <f t="shared" si="88"/>
        <v>7.5946919683980208E-4</v>
      </c>
      <c r="O272">
        <f t="shared" si="77"/>
        <v>2.5034923138777861E-3</v>
      </c>
      <c r="P272">
        <f t="shared" si="83"/>
        <v>-9.907921389539576E-4</v>
      </c>
      <c r="Q272">
        <f t="shared" si="84"/>
        <v>-6.4066600491137927E-3</v>
      </c>
      <c r="R272">
        <f t="shared" si="78"/>
        <v>-1.8950554887073809E-3</v>
      </c>
      <c r="S272">
        <f t="shared" si="79"/>
        <v>1.1042667505353678E-5</v>
      </c>
      <c r="U272" s="15">
        <f t="shared" si="75"/>
        <v>2.6599999999999873</v>
      </c>
      <c r="V272">
        <f t="shared" si="89"/>
        <v>4.9996956321776285</v>
      </c>
      <c r="W272">
        <f t="shared" si="80"/>
        <v>3.0436782237153182E-4</v>
      </c>
      <c r="X272">
        <f t="shared" si="85"/>
        <v>0.85081911489476747</v>
      </c>
      <c r="Y272">
        <f t="shared" si="86"/>
        <v>-7.7890471548158757E-4</v>
      </c>
      <c r="Z272">
        <f t="shared" si="81"/>
        <v>7.5946919683980208E-4</v>
      </c>
      <c r="AA272">
        <f t="shared" si="82"/>
        <v>3.262961510717588E-3</v>
      </c>
    </row>
    <row r="273" spans="8:27" x14ac:dyDescent="0.25">
      <c r="H273" s="15">
        <f t="shared" si="73"/>
        <v>2.6699999999999871</v>
      </c>
      <c r="I273" s="9">
        <f t="shared" si="76"/>
        <v>49.869198773731192</v>
      </c>
      <c r="J273">
        <f t="shared" si="87"/>
        <v>49.877700962062875</v>
      </c>
      <c r="K273">
        <f t="shared" si="72"/>
        <v>49.993846057683292</v>
      </c>
      <c r="M273" s="15">
        <f t="shared" si="74"/>
        <v>2.6699999999999871</v>
      </c>
      <c r="N273">
        <f t="shared" si="88"/>
        <v>7.4051864195272829E-4</v>
      </c>
      <c r="O273">
        <f t="shared" si="77"/>
        <v>2.4410243244494339E-3</v>
      </c>
      <c r="P273">
        <f t="shared" si="83"/>
        <v>-9.6606955576232154E-4</v>
      </c>
      <c r="Q273">
        <f t="shared" si="84"/>
        <v>-6.2467989428352261E-3</v>
      </c>
      <c r="R273">
        <f t="shared" si="78"/>
        <v>-1.8477692291266139E-3</v>
      </c>
      <c r="S273">
        <f t="shared" si="79"/>
        <v>1.0767119341092198E-5</v>
      </c>
      <c r="U273" s="15">
        <f t="shared" si="75"/>
        <v>2.6699999999999871</v>
      </c>
      <c r="V273">
        <f t="shared" si="89"/>
        <v>4.9997032268695971</v>
      </c>
      <c r="W273">
        <f t="shared" si="80"/>
        <v>2.9677313040288311E-4</v>
      </c>
      <c r="X273">
        <f t="shared" si="85"/>
        <v>0.85082212059953133</v>
      </c>
      <c r="Y273">
        <f t="shared" si="86"/>
        <v>-7.5946919686487036E-4</v>
      </c>
      <c r="Z273">
        <f t="shared" si="81"/>
        <v>7.4051864195272829E-4</v>
      </c>
      <c r="AA273">
        <f t="shared" si="82"/>
        <v>3.1815429664021622E-3</v>
      </c>
    </row>
    <row r="274" spans="8:27" x14ac:dyDescent="0.25">
      <c r="H274" s="15">
        <f t="shared" si="73"/>
        <v>2.6799999999999868</v>
      </c>
      <c r="I274" s="9">
        <f t="shared" si="76"/>
        <v>49.872079525399549</v>
      </c>
      <c r="J274">
        <f t="shared" si="87"/>
        <v>49.880424565975588</v>
      </c>
      <c r="K274">
        <f t="shared" si="72"/>
        <v>49.993983106196964</v>
      </c>
      <c r="M274" s="15">
        <f t="shared" si="74"/>
        <v>2.6799999999999868</v>
      </c>
      <c r="N274">
        <f t="shared" si="88"/>
        <v>7.2204094966146217E-4</v>
      </c>
      <c r="O274">
        <f t="shared" si="77"/>
        <v>2.3801150571568287E-3</v>
      </c>
      <c r="P274">
        <f t="shared" si="83"/>
        <v>-9.4196385885429018E-4</v>
      </c>
      <c r="Q274">
        <f t="shared" si="84"/>
        <v>-6.09092672926052E-3</v>
      </c>
      <c r="R274">
        <f t="shared" si="78"/>
        <v>-1.8016628858817856E-3</v>
      </c>
      <c r="S274">
        <f t="shared" si="79"/>
        <v>1.0498447250398453E-5</v>
      </c>
      <c r="U274" s="15">
        <f t="shared" si="75"/>
        <v>2.6799999999999868</v>
      </c>
      <c r="V274">
        <f t="shared" si="89"/>
        <v>4.9997106320560167</v>
      </c>
      <c r="W274">
        <f t="shared" si="80"/>
        <v>2.8936794398326526E-4</v>
      </c>
      <c r="X274">
        <f t="shared" si="85"/>
        <v>0.85082505130490327</v>
      </c>
      <c r="Y274">
        <f t="shared" si="86"/>
        <v>-7.4051864196178485E-4</v>
      </c>
      <c r="Z274">
        <f t="shared" si="81"/>
        <v>7.2204094966146217E-4</v>
      </c>
      <c r="AA274">
        <f t="shared" si="82"/>
        <v>3.1021560068182907E-3</v>
      </c>
    </row>
    <row r="275" spans="8:27" x14ac:dyDescent="0.25">
      <c r="H275" s="15">
        <f t="shared" si="73"/>
        <v>2.6899999999999866</v>
      </c>
      <c r="I275" s="9">
        <f t="shared" si="76"/>
        <v>49.874896831713365</v>
      </c>
      <c r="J275">
        <f t="shared" si="87"/>
        <v>49.883087515132559</v>
      </c>
      <c r="K275">
        <f t="shared" si="72"/>
        <v>49.994117102635371</v>
      </c>
      <c r="M275" s="15">
        <f t="shared" si="74"/>
        <v>2.6899999999999866</v>
      </c>
      <c r="N275">
        <f t="shared" si="88"/>
        <v>7.0402432080264436E-4</v>
      </c>
      <c r="O275">
        <f t="shared" si="77"/>
        <v>2.3207256181846259E-3</v>
      </c>
      <c r="P275">
        <f t="shared" si="83"/>
        <v>-9.1845965547758296E-4</v>
      </c>
      <c r="Q275">
        <f t="shared" si="84"/>
        <v>-5.9389438972202741E-3</v>
      </c>
      <c r="R275">
        <f t="shared" si="78"/>
        <v>-1.7567070231179894E-3</v>
      </c>
      <c r="S275">
        <f t="shared" si="79"/>
        <v>1.0236479990865469E-5</v>
      </c>
      <c r="U275" s="15">
        <f t="shared" si="75"/>
        <v>2.6899999999999866</v>
      </c>
      <c r="V275">
        <f t="shared" si="89"/>
        <v>4.9997178524655137</v>
      </c>
      <c r="W275">
        <f t="shared" si="80"/>
        <v>2.8214753448629892E-4</v>
      </c>
      <c r="X275">
        <f t="shared" si="85"/>
        <v>0.85082790888229565</v>
      </c>
      <c r="Y275">
        <f t="shared" si="86"/>
        <v>-7.2204094969663402E-4</v>
      </c>
      <c r="Z275">
        <f t="shared" si="81"/>
        <v>7.0402432080264436E-4</v>
      </c>
      <c r="AA275">
        <f t="shared" si="82"/>
        <v>3.0247499389872701E-3</v>
      </c>
    </row>
    <row r="276" spans="8:27" x14ac:dyDescent="0.25">
      <c r="H276" s="15">
        <f t="shared" si="73"/>
        <v>2.6999999999999864</v>
      </c>
      <c r="I276" s="9">
        <f t="shared" si="76"/>
        <v>49.877652089986071</v>
      </c>
      <c r="J276">
        <f t="shared" si="87"/>
        <v>49.88569116031735</v>
      </c>
      <c r="K276">
        <f t="shared" si="72"/>
        <v>49.994248114968343</v>
      </c>
      <c r="M276" s="15">
        <f t="shared" si="74"/>
        <v>2.6999999999999864</v>
      </c>
      <c r="N276">
        <f t="shared" si="88"/>
        <v>6.8645725057146442E-4</v>
      </c>
      <c r="O276">
        <f t="shared" si="77"/>
        <v>2.2628180843701391E-3</v>
      </c>
      <c r="P276">
        <f t="shared" si="83"/>
        <v>-8.9554193696480915E-4</v>
      </c>
      <c r="Q276">
        <f t="shared" si="84"/>
        <v>-5.7907533814486808E-3</v>
      </c>
      <c r="R276">
        <f t="shared" si="78"/>
        <v>-1.7128729265278116E-3</v>
      </c>
      <c r="S276">
        <f t="shared" si="79"/>
        <v>9.9810498982539839E-6</v>
      </c>
      <c r="U276" s="15">
        <f t="shared" si="75"/>
        <v>2.6999999999999864</v>
      </c>
      <c r="V276">
        <f t="shared" si="89"/>
        <v>4.9997248927087217</v>
      </c>
      <c r="W276">
        <f t="shared" si="80"/>
        <v>2.7510729127833145E-4</v>
      </c>
      <c r="X276">
        <f t="shared" si="85"/>
        <v>0.85083069515642451</v>
      </c>
      <c r="Y276">
        <f t="shared" si="86"/>
        <v>-7.0402432079674782E-4</v>
      </c>
      <c r="Z276">
        <f t="shared" si="81"/>
        <v>6.8645725057146442E-4</v>
      </c>
      <c r="AA276">
        <f t="shared" si="82"/>
        <v>2.9492753349416034E-3</v>
      </c>
    </row>
    <row r="277" spans="8:27" x14ac:dyDescent="0.25">
      <c r="H277" s="15">
        <f t="shared" si="73"/>
        <v>2.7099999999999862</v>
      </c>
      <c r="I277" s="9">
        <f t="shared" si="76"/>
        <v>49.880346666756843</v>
      </c>
      <c r="J277">
        <f t="shared" si="87"/>
        <v>49.888236822231534</v>
      </c>
      <c r="K277">
        <f t="shared" ref="K277:K306" si="90">K276+$E$8*DEGREES($E$6*$C$5*$C$6^2*$E$5/(4*$C$7)*$C$8*RADIANS(K276) +$E$6*$C$5*$C$6*$E$5^2/(2*$C$7)*$C$9*$C$18)</f>
        <v>49.99437620965201</v>
      </c>
      <c r="M277" s="15">
        <f t="shared" si="74"/>
        <v>2.7099999999999862</v>
      </c>
      <c r="N277">
        <f t="shared" si="88"/>
        <v>6.6932852130618633E-4</v>
      </c>
      <c r="O277">
        <f t="shared" si="77"/>
        <v>2.2063554786628833E-3</v>
      </c>
      <c r="P277">
        <f t="shared" si="83"/>
        <v>-8.7319606914964404E-4</v>
      </c>
      <c r="Q277">
        <f t="shared" si="84"/>
        <v>-5.6462605707255798E-3</v>
      </c>
      <c r="R277">
        <f t="shared" si="78"/>
        <v>-1.6701326102172836E-3</v>
      </c>
      <c r="S277">
        <f t="shared" si="79"/>
        <v>9.7319941297093447E-6</v>
      </c>
      <c r="U277" s="15">
        <f t="shared" si="75"/>
        <v>2.7099999999999862</v>
      </c>
      <c r="V277">
        <f t="shared" si="89"/>
        <v>4.9997317572812277</v>
      </c>
      <c r="W277">
        <f t="shared" si="80"/>
        <v>2.6824271877234906E-4</v>
      </c>
      <c r="X277">
        <f t="shared" si="85"/>
        <v>0.85083341190647477</v>
      </c>
      <c r="Y277">
        <f t="shared" si="86"/>
        <v>-6.8645725059823803E-4</v>
      </c>
      <c r="Z277">
        <f t="shared" si="81"/>
        <v>6.6932852130618633E-4</v>
      </c>
      <c r="AA277">
        <f t="shared" si="82"/>
        <v>2.8756839999690698E-3</v>
      </c>
    </row>
    <row r="278" spans="8:27" x14ac:dyDescent="0.25">
      <c r="H278" s="15">
        <f>H277+$E$8</f>
        <v>2.719999999999986</v>
      </c>
      <c r="I278" s="9">
        <f t="shared" si="76"/>
        <v>49.88298189846833</v>
      </c>
      <c r="J278">
        <f t="shared" si="87"/>
        <v>49.890725792164595</v>
      </c>
      <c r="K278">
        <f t="shared" si="90"/>
        <v>49.994501451662529</v>
      </c>
      <c r="M278" s="15">
        <f>M277+$E$8</f>
        <v>2.719999999999986</v>
      </c>
      <c r="N278">
        <f t="shared" si="88"/>
        <v>6.5262719520401346E-4</v>
      </c>
      <c r="O278">
        <f t="shared" si="77"/>
        <v>2.1513017468464909E-3</v>
      </c>
      <c r="P278">
        <f t="shared" si="83"/>
        <v>-8.5140778302209713E-4</v>
      </c>
      <c r="Q278">
        <f t="shared" si="84"/>
        <v>-5.5053731816392427E-3</v>
      </c>
      <c r="R278">
        <f t="shared" si="78"/>
        <v>-1.6284587741059709E-3</v>
      </c>
      <c r="S278">
        <f t="shared" si="79"/>
        <v>9.4891532338966036E-6</v>
      </c>
      <c r="U278" s="15">
        <f>U277+$E$8</f>
        <v>2.719999999999986</v>
      </c>
      <c r="V278">
        <f t="shared" si="89"/>
        <v>4.9997384505664408</v>
      </c>
      <c r="W278">
        <f t="shared" si="80"/>
        <v>2.615494335591606E-4</v>
      </c>
      <c r="X278">
        <f t="shared" si="85"/>
        <v>0.8508360608672364</v>
      </c>
      <c r="Y278">
        <f t="shared" si="86"/>
        <v>-6.6932852131884601E-4</v>
      </c>
      <c r="Z278">
        <f t="shared" si="81"/>
        <v>6.5262719520401346E-4</v>
      </c>
      <c r="AA278">
        <f t="shared" si="82"/>
        <v>2.8039289420505042E-3</v>
      </c>
    </row>
    <row r="279" spans="8:27" x14ac:dyDescent="0.25">
      <c r="H279" s="15">
        <f t="shared" ref="H279:H295" si="91">H278+$E$8</f>
        <v>2.7299999999999858</v>
      </c>
      <c r="I279" s="9">
        <f t="shared" si="76"/>
        <v>49.885559092129505</v>
      </c>
      <c r="J279">
        <f t="shared" si="87"/>
        <v>49.893159332648963</v>
      </c>
      <c r="K279">
        <f t="shared" si="90"/>
        <v>49.994623904529035</v>
      </c>
      <c r="M279" s="15">
        <f t="shared" ref="M279:M295" si="92">M278+$E$8</f>
        <v>2.7299999999999858</v>
      </c>
      <c r="N279">
        <f t="shared" si="88"/>
        <v>6.3634260746295377E-4</v>
      </c>
      <c r="O279">
        <f t="shared" si="77"/>
        <v>2.0976217342112127E-3</v>
      </c>
      <c r="P279">
        <f t="shared" si="83"/>
        <v>-8.3016316561680865E-4</v>
      </c>
      <c r="Q279">
        <f t="shared" si="84"/>
        <v>-5.3680012635278201E-3</v>
      </c>
      <c r="R279">
        <f t="shared" si="78"/>
        <v>-1.5878248097933446E-3</v>
      </c>
      <c r="S279">
        <f t="shared" si="79"/>
        <v>9.2523722968963946E-6</v>
      </c>
      <c r="U279" s="15">
        <f t="shared" ref="U279:U295" si="93">U278+$E$8</f>
        <v>2.7299999999999858</v>
      </c>
      <c r="V279">
        <f t="shared" si="89"/>
        <v>4.999744976838393</v>
      </c>
      <c r="W279">
        <f t="shared" si="80"/>
        <v>2.5502316160697092E-4</v>
      </c>
      <c r="X279">
        <f t="shared" si="85"/>
        <v>0.85083864373021223</v>
      </c>
      <c r="Y279">
        <f t="shared" si="86"/>
        <v>-6.5262719521896884E-4</v>
      </c>
      <c r="Z279">
        <f t="shared" si="81"/>
        <v>6.3634260746295377E-4</v>
      </c>
      <c r="AA279">
        <f t="shared" si="82"/>
        <v>2.7339643416741666E-3</v>
      </c>
    </row>
    <row r="280" spans="8:27" x14ac:dyDescent="0.25">
      <c r="H280" s="15">
        <f t="shared" si="91"/>
        <v>2.7399999999999856</v>
      </c>
      <c r="I280" s="9">
        <f t="shared" si="76"/>
        <v>49.88807952596396</v>
      </c>
      <c r="J280">
        <f t="shared" si="87"/>
        <v>49.895538678100429</v>
      </c>
      <c r="K280">
        <f t="shared" si="90"/>
        <v>49.994743630365861</v>
      </c>
      <c r="M280" s="15">
        <f t="shared" si="92"/>
        <v>2.7399999999999856</v>
      </c>
      <c r="N280">
        <f t="shared" si="88"/>
        <v>6.2046435936502031E-4</v>
      </c>
      <c r="O280">
        <f t="shared" si="77"/>
        <v>2.045281163270967E-3</v>
      </c>
      <c r="P280">
        <f t="shared" si="83"/>
        <v>-8.0944865112939773E-4</v>
      </c>
      <c r="Q280">
        <f t="shared" si="84"/>
        <v>-5.2340570940245714E-3</v>
      </c>
      <c r="R280">
        <f t="shared" si="78"/>
        <v>-1.5482047686089684E-3</v>
      </c>
      <c r="S280">
        <f t="shared" si="79"/>
        <v>9.0215000453004214E-6</v>
      </c>
      <c r="U280" s="15">
        <f t="shared" si="93"/>
        <v>2.7399999999999856</v>
      </c>
      <c r="V280">
        <f t="shared" si="89"/>
        <v>4.999751340264468</v>
      </c>
      <c r="W280">
        <f t="shared" si="80"/>
        <v>2.486597355320086E-4</v>
      </c>
      <c r="X280">
        <f t="shared" si="85"/>
        <v>0.85084116214469796</v>
      </c>
      <c r="Y280">
        <f t="shared" si="86"/>
        <v>-6.3634260749623195E-4</v>
      </c>
      <c r="Z280">
        <f t="shared" si="81"/>
        <v>6.2046435936502031E-4</v>
      </c>
      <c r="AA280">
        <f t="shared" si="82"/>
        <v>2.6657455226359872E-3</v>
      </c>
    </row>
    <row r="281" spans="8:27" x14ac:dyDescent="0.25">
      <c r="H281" s="15">
        <f t="shared" si="91"/>
        <v>2.7499999999999853</v>
      </c>
      <c r="I281" s="9">
        <f t="shared" si="76"/>
        <v>49.890544450043798</v>
      </c>
      <c r="J281">
        <f t="shared" si="87"/>
        <v>49.897865035444298</v>
      </c>
      <c r="K281">
        <f t="shared" si="90"/>
        <v>49.994860689904051</v>
      </c>
      <c r="M281" s="15">
        <f t="shared" si="92"/>
        <v>2.7499999999999853</v>
      </c>
      <c r="N281">
        <f t="shared" si="88"/>
        <v>6.0498231167893061E-4</v>
      </c>
      <c r="O281">
        <f t="shared" si="77"/>
        <v>1.9942466119034002E-3</v>
      </c>
      <c r="P281">
        <f t="shared" si="83"/>
        <v>-7.8925101225352592E-4</v>
      </c>
      <c r="Q281">
        <f t="shared" si="84"/>
        <v>-5.103455136756677E-3</v>
      </c>
      <c r="R281">
        <f t="shared" si="78"/>
        <v>-1.5095733465916338E-3</v>
      </c>
      <c r="S281">
        <f t="shared" si="79"/>
        <v>8.7963888283962809E-6</v>
      </c>
      <c r="U281" s="15">
        <f t="shared" si="93"/>
        <v>2.7499999999999853</v>
      </c>
      <c r="V281">
        <f t="shared" si="89"/>
        <v>4.9997575449080616</v>
      </c>
      <c r="W281">
        <f t="shared" si="80"/>
        <v>2.4245509193843162E-4</v>
      </c>
      <c r="X281">
        <f t="shared" si="85"/>
        <v>0.85084361771883532</v>
      </c>
      <c r="Y281">
        <f t="shared" si="86"/>
        <v>-6.204643593576975E-4</v>
      </c>
      <c r="Z281">
        <f t="shared" si="81"/>
        <v>6.0498231167893061E-4</v>
      </c>
      <c r="AA281">
        <f t="shared" si="82"/>
        <v>2.5992289235823307E-3</v>
      </c>
    </row>
    <row r="282" spans="8:27" x14ac:dyDescent="0.25">
      <c r="H282" s="15">
        <f t="shared" si="91"/>
        <v>2.7599999999999851</v>
      </c>
      <c r="I282" s="9">
        <f t="shared" si="76"/>
        <v>49.892955086909687</v>
      </c>
      <c r="J282">
        <f t="shared" si="87"/>
        <v>49.900139584727604</v>
      </c>
      <c r="K282">
        <f t="shared" si="90"/>
        <v>49.994975142522172</v>
      </c>
      <c r="M282" s="15">
        <f t="shared" si="92"/>
        <v>2.7599999999999851</v>
      </c>
      <c r="N282">
        <f t="shared" si="88"/>
        <v>5.8988657821301422E-4</v>
      </c>
      <c r="O282">
        <f t="shared" si="77"/>
        <v>1.9444854917856106E-3</v>
      </c>
      <c r="P282">
        <f t="shared" si="83"/>
        <v>-7.6955735173508087E-4</v>
      </c>
      <c r="Q282">
        <f t="shared" si="84"/>
        <v>-4.9761120117789576E-3</v>
      </c>
      <c r="R282">
        <f t="shared" si="78"/>
        <v>-1.4719058812706482E-3</v>
      </c>
      <c r="S282">
        <f t="shared" si="79"/>
        <v>8.5768952219726635E-6</v>
      </c>
      <c r="U282" s="15">
        <f t="shared" si="93"/>
        <v>2.7599999999999851</v>
      </c>
      <c r="V282">
        <f t="shared" si="89"/>
        <v>4.9997635947311787</v>
      </c>
      <c r="W282">
        <f t="shared" si="80"/>
        <v>2.3640526882129365E-4</v>
      </c>
      <c r="X282">
        <f t="shared" si="85"/>
        <v>0.85084601202063914</v>
      </c>
      <c r="Y282">
        <f t="shared" si="86"/>
        <v>-6.0498231171379757E-4</v>
      </c>
      <c r="Z282">
        <f t="shared" si="81"/>
        <v>5.8988657821301422E-4</v>
      </c>
      <c r="AA282">
        <f t="shared" si="82"/>
        <v>2.534372069998625E-3</v>
      </c>
    </row>
    <row r="283" spans="8:27" x14ac:dyDescent="0.25">
      <c r="H283" s="15">
        <f t="shared" si="91"/>
        <v>2.7699999999999849</v>
      </c>
      <c r="I283" s="9">
        <f t="shared" si="76"/>
        <v>49.895312632177188</v>
      </c>
      <c r="J283">
        <f t="shared" si="87"/>
        <v>49.902363479717692</v>
      </c>
      <c r="K283">
        <f t="shared" si="90"/>
        <v>49.995087046276431</v>
      </c>
      <c r="M283" s="15">
        <f t="shared" si="92"/>
        <v>2.7699999999999849</v>
      </c>
      <c r="N283">
        <f t="shared" si="88"/>
        <v>5.7516751940030772E-4</v>
      </c>
      <c r="O283">
        <f t="shared" si="77"/>
        <v>1.8959660279398798E-3</v>
      </c>
      <c r="P283">
        <f t="shared" si="83"/>
        <v>-7.5035509413645337E-4</v>
      </c>
      <c r="Q283">
        <f t="shared" si="84"/>
        <v>-4.8519463845730828E-3</v>
      </c>
      <c r="R283">
        <f t="shared" si="78"/>
        <v>-1.435178311920105E-3</v>
      </c>
      <c r="S283">
        <f t="shared" si="79"/>
        <v>8.3628786482379744E-6</v>
      </c>
      <c r="U283" s="15">
        <f t="shared" si="93"/>
        <v>2.7699999999999849</v>
      </c>
      <c r="V283">
        <f t="shared" si="89"/>
        <v>4.9997694935969612</v>
      </c>
      <c r="W283">
        <f t="shared" si="80"/>
        <v>2.3050640303878822E-4</v>
      </c>
      <c r="X283">
        <f t="shared" si="85"/>
        <v>0.85084834657899844</v>
      </c>
      <c r="Y283">
        <f t="shared" si="86"/>
        <v>-5.8988657825054247E-4</v>
      </c>
      <c r="Z283">
        <f t="shared" si="81"/>
        <v>5.7516751940030772E-4</v>
      </c>
      <c r="AA283">
        <f t="shared" si="82"/>
        <v>2.4711335473401874E-3</v>
      </c>
    </row>
    <row r="284" spans="8:27" x14ac:dyDescent="0.25">
      <c r="H284" s="15">
        <f t="shared" si="91"/>
        <v>2.7799999999999847</v>
      </c>
      <c r="I284" s="9">
        <f t="shared" si="76"/>
        <v>49.897618255129771</v>
      </c>
      <c r="J284">
        <f t="shared" si="87"/>
        <v>49.904537848487472</v>
      </c>
      <c r="K284">
        <f t="shared" si="90"/>
        <v>49.995196457930113</v>
      </c>
      <c r="M284" s="15">
        <f t="shared" si="92"/>
        <v>2.7799999999999847</v>
      </c>
      <c r="N284">
        <f t="shared" si="88"/>
        <v>5.6081573628110671E-4</v>
      </c>
      <c r="O284">
        <f t="shared" si="77"/>
        <v>1.8486572381626093E-3</v>
      </c>
      <c r="P284">
        <f t="shared" si="83"/>
        <v>-7.3163197780594098E-4</v>
      </c>
      <c r="Q284">
        <f t="shared" si="84"/>
        <v>-4.7308789777270521E-3</v>
      </c>
      <c r="R284">
        <f t="shared" si="78"/>
        <v>-1.3993671865603053E-3</v>
      </c>
      <c r="S284">
        <f t="shared" si="79"/>
        <v>8.1542024817570728E-6</v>
      </c>
      <c r="U284" s="15">
        <f t="shared" si="93"/>
        <v>2.7799999999999847</v>
      </c>
      <c r="V284">
        <f t="shared" si="89"/>
        <v>4.9997752452721551</v>
      </c>
      <c r="W284">
        <f t="shared" si="80"/>
        <v>2.2475472784488915E-4</v>
      </c>
      <c r="X284">
        <f t="shared" si="85"/>
        <v>0.85085062288465285</v>
      </c>
      <c r="Y284">
        <f t="shared" si="86"/>
        <v>-5.7516751938990751E-4</v>
      </c>
      <c r="Z284">
        <f t="shared" si="81"/>
        <v>5.6081573628110671E-4</v>
      </c>
      <c r="AA284">
        <f t="shared" si="82"/>
        <v>2.409472974443716E-3</v>
      </c>
    </row>
    <row r="285" spans="8:27" x14ac:dyDescent="0.25">
      <c r="H285" s="15">
        <f t="shared" si="91"/>
        <v>2.7899999999999845</v>
      </c>
      <c r="I285" s="9">
        <f t="shared" si="76"/>
        <v>49.899873099298716</v>
      </c>
      <c r="J285">
        <f t="shared" si="87"/>
        <v>49.906663793987626</v>
      </c>
      <c r="K285">
        <f t="shared" si="90"/>
        <v>49.995303432982389</v>
      </c>
      <c r="M285" s="15">
        <f t="shared" si="92"/>
        <v>2.7899999999999845</v>
      </c>
      <c r="N285">
        <f t="shared" si="88"/>
        <v>5.4682206441550362E-4</v>
      </c>
      <c r="O285">
        <f t="shared" si="77"/>
        <v>1.80252891324803E-3</v>
      </c>
      <c r="P285">
        <f t="shared" si="83"/>
        <v>-7.1337604704888784E-4</v>
      </c>
      <c r="Q285">
        <f t="shared" si="84"/>
        <v>-4.612832491457928E-3</v>
      </c>
      <c r="R285">
        <f t="shared" si="78"/>
        <v>-1.3644496412709422E-3</v>
      </c>
      <c r="S285">
        <f t="shared" si="79"/>
        <v>7.9507336629583512E-6</v>
      </c>
      <c r="U285" s="15">
        <f t="shared" si="93"/>
        <v>2.7899999999999845</v>
      </c>
      <c r="V285">
        <f t="shared" si="89"/>
        <v>4.9997808534295176</v>
      </c>
      <c r="W285">
        <f t="shared" si="80"/>
        <v>2.1914657048238695E-4</v>
      </c>
      <c r="X285">
        <f t="shared" si="85"/>
        <v>0.85085284239114445</v>
      </c>
      <c r="Y285">
        <f t="shared" si="86"/>
        <v>-5.6081573625021974E-4</v>
      </c>
      <c r="Z285">
        <f t="shared" si="81"/>
        <v>5.4682206441550362E-4</v>
      </c>
      <c r="AA285">
        <f t="shared" si="82"/>
        <v>2.3493509776635335E-3</v>
      </c>
    </row>
    <row r="286" spans="8:27" x14ac:dyDescent="0.25">
      <c r="H286" s="15">
        <f t="shared" si="91"/>
        <v>2.7999999999999843</v>
      </c>
      <c r="I286" s="9">
        <f t="shared" si="76"/>
        <v>49.902078283030328</v>
      </c>
      <c r="J286">
        <f t="shared" si="87"/>
        <v>49.908742394606087</v>
      </c>
      <c r="K286">
        <f t="shared" si="90"/>
        <v>49.995408025696456</v>
      </c>
      <c r="M286" s="15">
        <f t="shared" si="92"/>
        <v>2.7999999999999843</v>
      </c>
      <c r="N286">
        <f t="shared" si="88"/>
        <v>5.3317756800279423E-4</v>
      </c>
      <c r="O286">
        <f t="shared" si="77"/>
        <v>1.7575515978399256E-3</v>
      </c>
      <c r="P286">
        <f t="shared" si="83"/>
        <v>-6.9557564449344801E-4</v>
      </c>
      <c r="Q286">
        <f t="shared" si="84"/>
        <v>-4.4977315408104446E-3</v>
      </c>
      <c r="R286">
        <f t="shared" si="78"/>
        <v>-1.3304033778223047E-3</v>
      </c>
      <c r="S286">
        <f t="shared" si="79"/>
        <v>7.7523421954934883E-6</v>
      </c>
      <c r="U286" s="15">
        <f t="shared" si="93"/>
        <v>2.7999999999999843</v>
      </c>
      <c r="V286">
        <f t="shared" si="89"/>
        <v>4.9997863216501619</v>
      </c>
      <c r="W286">
        <f t="shared" si="80"/>
        <v>2.1367834983809786E-4</v>
      </c>
      <c r="X286">
        <f t="shared" si="85"/>
        <v>0.85085500651574608</v>
      </c>
      <c r="Y286">
        <f t="shared" si="86"/>
        <v>-5.4682206442890902E-4</v>
      </c>
      <c r="Z286">
        <f t="shared" si="81"/>
        <v>5.3317756800279423E-4</v>
      </c>
      <c r="AA286">
        <f t="shared" si="82"/>
        <v>2.2907291658427198E-3</v>
      </c>
    </row>
    <row r="287" spans="8:27" x14ac:dyDescent="0.25">
      <c r="H287" s="15">
        <f t="shared" si="91"/>
        <v>2.8099999999999841</v>
      </c>
      <c r="I287" s="9">
        <f t="shared" si="76"/>
        <v>49.904234900040535</v>
      </c>
      <c r="J287">
        <f t="shared" si="87"/>
        <v>49.910774704715045</v>
      </c>
      <c r="K287">
        <f t="shared" si="90"/>
        <v>49.995510289127068</v>
      </c>
      <c r="M287" s="15">
        <f t="shared" si="92"/>
        <v>2.8099999999999841</v>
      </c>
      <c r="N287">
        <f t="shared" si="88"/>
        <v>5.1987353422457117E-4</v>
      </c>
      <c r="O287">
        <f t="shared" si="77"/>
        <v>1.7136965716956084E-3</v>
      </c>
      <c r="P287">
        <f t="shared" si="83"/>
        <v>-6.7821940364577032E-4</v>
      </c>
      <c r="Q287">
        <f t="shared" si="84"/>
        <v>-4.3855026144317159E-3</v>
      </c>
      <c r="R287">
        <f t="shared" si="78"/>
        <v>-1.2972066480465888E-3</v>
      </c>
      <c r="S287">
        <f t="shared" si="79"/>
        <v>7.5589009819519801E-6</v>
      </c>
      <c r="U287" s="15">
        <f t="shared" si="93"/>
        <v>2.8099999999999841</v>
      </c>
      <c r="V287">
        <f t="shared" si="89"/>
        <v>4.9997916534258415</v>
      </c>
      <c r="W287">
        <f t="shared" si="80"/>
        <v>2.0834657415846891E-4</v>
      </c>
      <c r="X287">
        <f t="shared" si="85"/>
        <v>0.85085711664036612</v>
      </c>
      <c r="Y287">
        <f t="shared" si="86"/>
        <v>-5.3317756796289473E-4</v>
      </c>
      <c r="Z287">
        <f t="shared" si="81"/>
        <v>5.1987353422457117E-4</v>
      </c>
      <c r="AA287">
        <f t="shared" si="82"/>
        <v>2.2335701059201796E-3</v>
      </c>
    </row>
    <row r="288" spans="8:27" x14ac:dyDescent="0.25">
      <c r="H288" s="15">
        <f t="shared" si="91"/>
        <v>2.8199999999999839</v>
      </c>
      <c r="I288" s="9">
        <f t="shared" si="76"/>
        <v>49.906344019957437</v>
      </c>
      <c r="J288">
        <f t="shared" si="87"/>
        <v>49.912761755205793</v>
      </c>
      <c r="K288">
        <f t="shared" si="90"/>
        <v>49.995610275147456</v>
      </c>
      <c r="M288" s="15">
        <f t="shared" si="92"/>
        <v>2.8199999999999839</v>
      </c>
      <c r="N288">
        <f t="shared" si="88"/>
        <v>5.0690146774410531E-4</v>
      </c>
      <c r="O288">
        <f t="shared" si="77"/>
        <v>1.670935830912621E-3</v>
      </c>
      <c r="P288">
        <f t="shared" si="83"/>
        <v>-6.6129624163272914E-4</v>
      </c>
      <c r="Q288">
        <f t="shared" si="84"/>
        <v>-4.2760740782987446E-3</v>
      </c>
      <c r="R288">
        <f t="shared" si="78"/>
        <v>-1.2648382655248097E-3</v>
      </c>
      <c r="S288">
        <f t="shared" si="79"/>
        <v>7.3702871213911485E-6</v>
      </c>
      <c r="U288" s="15">
        <f t="shared" si="93"/>
        <v>2.8199999999999839</v>
      </c>
      <c r="V288">
        <f t="shared" si="89"/>
        <v>4.9997968521611842</v>
      </c>
      <c r="W288">
        <f t="shared" si="80"/>
        <v>2.0314783881580922E-4</v>
      </c>
      <c r="X288">
        <f t="shared" si="85"/>
        <v>0.85085917411243095</v>
      </c>
      <c r="Y288">
        <f t="shared" si="86"/>
        <v>-5.1987353426596883E-4</v>
      </c>
      <c r="Z288">
        <f t="shared" si="81"/>
        <v>5.0690146774410531E-4</v>
      </c>
      <c r="AA288">
        <f t="shared" si="82"/>
        <v>2.1778372986567263E-3</v>
      </c>
    </row>
    <row r="289" spans="8:27" x14ac:dyDescent="0.25">
      <c r="H289" s="15">
        <f t="shared" si="91"/>
        <v>2.8299999999999836</v>
      </c>
      <c r="I289" s="9">
        <f t="shared" si="76"/>
        <v>49.90840668885172</v>
      </c>
      <c r="J289">
        <f t="shared" si="87"/>
        <v>49.914704554011635</v>
      </c>
      <c r="K289">
        <f t="shared" si="90"/>
        <v>49.995708034475619</v>
      </c>
      <c r="M289" s="15">
        <f t="shared" si="92"/>
        <v>2.8299999999999836</v>
      </c>
      <c r="N289">
        <f t="shared" si="88"/>
        <v>4.9425308508885724E-4</v>
      </c>
      <c r="O289">
        <f t="shared" si="77"/>
        <v>1.6292420707058285E-3</v>
      </c>
      <c r="P289">
        <f t="shared" si="83"/>
        <v>-6.4479535212463694E-4</v>
      </c>
      <c r="Q289">
        <f t="shared" si="84"/>
        <v>-4.1693760206792463E-3</v>
      </c>
      <c r="R289">
        <f t="shared" si="78"/>
        <v>-1.233277547122421E-3</v>
      </c>
      <c r="S289">
        <f t="shared" si="79"/>
        <v>7.1863794183200675E-6</v>
      </c>
      <c r="U289" s="15">
        <f t="shared" si="93"/>
        <v>2.8299999999999836</v>
      </c>
      <c r="V289">
        <f t="shared" si="89"/>
        <v>4.9998019211758615</v>
      </c>
      <c r="W289">
        <f t="shared" si="80"/>
        <v>1.9807882413847011E-4</v>
      </c>
      <c r="X289">
        <f t="shared" si="85"/>
        <v>0.85086118024574575</v>
      </c>
      <c r="Y289">
        <f t="shared" si="86"/>
        <v>-5.069014677339112E-4</v>
      </c>
      <c r="Z289">
        <f t="shared" si="81"/>
        <v>4.9425308508885724E-4</v>
      </c>
      <c r="AA289">
        <f t="shared" si="82"/>
        <v>2.1234951557946857E-3</v>
      </c>
    </row>
    <row r="290" spans="8:27" x14ac:dyDescent="0.25">
      <c r="H290" s="15">
        <f t="shared" si="91"/>
        <v>2.8399999999999834</v>
      </c>
      <c r="I290" s="9">
        <f t="shared" si="76"/>
        <v>49.910423929755552</v>
      </c>
      <c r="J290">
        <f t="shared" si="87"/>
        <v>49.916604086619159</v>
      </c>
      <c r="K290">
        <f t="shared" si="90"/>
        <v>49.99580361670008</v>
      </c>
      <c r="M290" s="15">
        <f t="shared" si="92"/>
        <v>2.8399999999999834</v>
      </c>
      <c r="N290">
        <f t="shared" si="88"/>
        <v>4.8192030961763301E-4</v>
      </c>
      <c r="O290">
        <f t="shared" si="77"/>
        <v>1.5885886672659119E-3</v>
      </c>
      <c r="P290">
        <f t="shared" si="83"/>
        <v>-6.2870619843477819E-4</v>
      </c>
      <c r="Q290">
        <f t="shared" si="84"/>
        <v>-4.0653403439916544E-3</v>
      </c>
      <c r="R290">
        <f t="shared" si="78"/>
        <v>-1.2025043515774899E-3</v>
      </c>
      <c r="S290">
        <f t="shared" si="79"/>
        <v>7.0070610819837186E-6</v>
      </c>
      <c r="U290" s="15">
        <f t="shared" si="93"/>
        <v>2.8399999999999834</v>
      </c>
      <c r="V290">
        <f t="shared" si="89"/>
        <v>4.9998068637067128</v>
      </c>
      <c r="W290">
        <f t="shared" si="80"/>
        <v>1.9313629328721049E-4</v>
      </c>
      <c r="X290">
        <f t="shared" si="85"/>
        <v>0.85086313632133292</v>
      </c>
      <c r="Y290">
        <f t="shared" si="86"/>
        <v>-4.9425308512596189E-4</v>
      </c>
      <c r="Z290">
        <f t="shared" si="81"/>
        <v>4.8192030961763301E-4</v>
      </c>
      <c r="AA290">
        <f t="shared" si="82"/>
        <v>2.070508976883545E-3</v>
      </c>
    </row>
    <row r="291" spans="8:27" x14ac:dyDescent="0.25">
      <c r="H291" s="15">
        <f t="shared" si="91"/>
        <v>2.8499999999999832</v>
      </c>
      <c r="I291" s="9">
        <f t="shared" si="76"/>
        <v>49.912396743169936</v>
      </c>
      <c r="J291">
        <f t="shared" si="87"/>
        <v>49.918461316568141</v>
      </c>
      <c r="K291">
        <f t="shared" si="90"/>
        <v>49.995897070305013</v>
      </c>
      <c r="M291" s="15">
        <f t="shared" si="92"/>
        <v>2.8499999999999832</v>
      </c>
      <c r="N291">
        <f t="shared" si="88"/>
        <v>4.6989526610185812E-4</v>
      </c>
      <c r="O291">
        <f t="shared" si="77"/>
        <v>1.5489496613839719E-3</v>
      </c>
      <c r="P291">
        <f t="shared" si="83"/>
        <v>-6.1301850679152878E-4</v>
      </c>
      <c r="Q291">
        <f t="shared" si="84"/>
        <v>-3.9639005881940068E-3</v>
      </c>
      <c r="R291">
        <f t="shared" si="78"/>
        <v>-1.1724990184589059E-3</v>
      </c>
      <c r="S291">
        <f t="shared" si="79"/>
        <v>6.8322170716401953E-6</v>
      </c>
      <c r="U291" s="15">
        <f t="shared" si="93"/>
        <v>2.8499999999999832</v>
      </c>
      <c r="V291">
        <f t="shared" si="89"/>
        <v>4.9998116829098089</v>
      </c>
      <c r="W291">
        <f t="shared" si="80"/>
        <v>1.8831709019107024E-4</v>
      </c>
      <c r="X291">
        <f t="shared" si="85"/>
        <v>0.85086504358825032</v>
      </c>
      <c r="Y291">
        <f t="shared" si="86"/>
        <v>-4.8192030961402565E-4</v>
      </c>
      <c r="Z291">
        <f t="shared" si="81"/>
        <v>4.6989526610185812E-4</v>
      </c>
      <c r="AA291">
        <f t="shared" si="82"/>
        <v>2.01884492748583E-3</v>
      </c>
    </row>
    <row r="292" spans="8:27" x14ac:dyDescent="0.25">
      <c r="H292" s="15">
        <f t="shared" si="91"/>
        <v>2.859999999999983</v>
      </c>
      <c r="I292" s="9">
        <f t="shared" si="76"/>
        <v>49.914326107560974</v>
      </c>
      <c r="J292">
        <f t="shared" si="87"/>
        <v>49.920277185940286</v>
      </c>
      <c r="K292">
        <f t="shared" si="90"/>
        <v>49.995988442694845</v>
      </c>
      <c r="M292" s="15">
        <f t="shared" si="92"/>
        <v>2.859999999999983</v>
      </c>
      <c r="N292">
        <f t="shared" si="88"/>
        <v>4.5817027591726905E-4</v>
      </c>
      <c r="O292">
        <f t="shared" si="77"/>
        <v>1.5102997414088715E-3</v>
      </c>
      <c r="P292">
        <f t="shared" si="83"/>
        <v>-5.9772225977756455E-4</v>
      </c>
      <c r="Q292">
        <f t="shared" si="84"/>
        <v>-3.8649919975100415E-3</v>
      </c>
      <c r="R292">
        <f t="shared" si="78"/>
        <v>-1.1432423934063546E-3</v>
      </c>
      <c r="S292">
        <f t="shared" si="79"/>
        <v>6.6617360451803539E-6</v>
      </c>
      <c r="U292" s="15">
        <f t="shared" si="93"/>
        <v>2.859999999999983</v>
      </c>
      <c r="V292">
        <f t="shared" si="89"/>
        <v>4.9998163818624697</v>
      </c>
      <c r="W292">
        <f t="shared" si="80"/>
        <v>1.8361813753031697E-4</v>
      </c>
      <c r="X292">
        <f t="shared" si="85"/>
        <v>0.85086690326438896</v>
      </c>
      <c r="Y292">
        <f t="shared" si="86"/>
        <v>-4.6989526607532639E-4</v>
      </c>
      <c r="Z292">
        <f t="shared" si="81"/>
        <v>4.5817027591726905E-4</v>
      </c>
      <c r="AA292">
        <f t="shared" si="82"/>
        <v>1.9684700173261405E-3</v>
      </c>
    </row>
    <row r="293" spans="8:27" x14ac:dyDescent="0.25">
      <c r="H293" s="15">
        <f t="shared" si="91"/>
        <v>2.8699999999999828</v>
      </c>
      <c r="I293" s="9">
        <f t="shared" si="76"/>
        <v>49.916212979845113</v>
      </c>
      <c r="J293">
        <f t="shared" si="87"/>
        <v>49.922052615837103</v>
      </c>
      <c r="K293">
        <f t="shared" si="90"/>
        <v>49.996077780218315</v>
      </c>
      <c r="M293" s="15">
        <f t="shared" si="92"/>
        <v>2.8699999999999828</v>
      </c>
      <c r="N293">
        <f t="shared" si="88"/>
        <v>4.467378519832055E-4</v>
      </c>
      <c r="O293">
        <f t="shared" si="77"/>
        <v>1.4726142272971953E-3</v>
      </c>
      <c r="P293">
        <f t="shared" si="83"/>
        <v>-5.8280768993403424E-4</v>
      </c>
      <c r="Q293">
        <f t="shared" si="84"/>
        <v>-3.7685514111676166E-3</v>
      </c>
      <c r="R293">
        <f t="shared" si="78"/>
        <v>-1.1147157952451411E-3</v>
      </c>
      <c r="S293">
        <f t="shared" si="79"/>
        <v>6.4955091874567637E-6</v>
      </c>
      <c r="U293" s="15">
        <f t="shared" si="93"/>
        <v>2.8699999999999828</v>
      </c>
      <c r="V293">
        <f t="shared" si="89"/>
        <v>4.9998209635652291</v>
      </c>
      <c r="W293">
        <f t="shared" si="80"/>
        <v>1.7903643477090725E-4</v>
      </c>
      <c r="X293">
        <f t="shared" si="85"/>
        <v>0.85086871653725049</v>
      </c>
      <c r="Y293">
        <f t="shared" si="86"/>
        <v>-4.5817027594097226E-4</v>
      </c>
      <c r="Z293">
        <f t="shared" si="81"/>
        <v>4.467378519832055E-4</v>
      </c>
      <c r="AA293">
        <f t="shared" si="82"/>
        <v>1.9193520792804009E-3</v>
      </c>
    </row>
    <row r="294" spans="8:27" x14ac:dyDescent="0.25">
      <c r="H294" s="15">
        <f t="shared" si="91"/>
        <v>2.8799999999999826</v>
      </c>
      <c r="I294" s="9">
        <f t="shared" si="76"/>
        <v>49.918058295863794</v>
      </c>
      <c r="J294">
        <f t="shared" si="87"/>
        <v>49.923788506847146</v>
      </c>
      <c r="K294">
        <f t="shared" si="90"/>
        <v>49.996165128191969</v>
      </c>
      <c r="M294" s="15">
        <f t="shared" si="92"/>
        <v>2.8799999999999826</v>
      </c>
      <c r="N294">
        <f t="shared" si="88"/>
        <v>4.3559069403075411E-4</v>
      </c>
      <c r="O294">
        <f t="shared" si="77"/>
        <v>1.435869055007597E-3</v>
      </c>
      <c r="P294">
        <f t="shared" si="83"/>
        <v>-5.6826527352251029E-4</v>
      </c>
      <c r="Q294">
        <f t="shared" si="84"/>
        <v>-3.6745172289598307E-3</v>
      </c>
      <c r="R294">
        <f t="shared" si="78"/>
        <v>-1.0869009994835812E-3</v>
      </c>
      <c r="S294">
        <f t="shared" si="79"/>
        <v>6.3334298869557534E-6</v>
      </c>
      <c r="U294" s="15">
        <f t="shared" si="93"/>
        <v>2.8799999999999826</v>
      </c>
      <c r="V294">
        <f t="shared" si="89"/>
        <v>4.9998254309437486</v>
      </c>
      <c r="W294">
        <f t="shared" si="80"/>
        <v>1.7456905625135022E-4</v>
      </c>
      <c r="X294">
        <f t="shared" si="85"/>
        <v>0.8508704845647056</v>
      </c>
      <c r="Y294">
        <f t="shared" si="86"/>
        <v>-4.4673785195570304E-4</v>
      </c>
      <c r="Z294">
        <f t="shared" si="81"/>
        <v>4.3559069403075411E-4</v>
      </c>
      <c r="AA294">
        <f t="shared" si="82"/>
        <v>1.8714597490383511E-3</v>
      </c>
    </row>
    <row r="295" spans="8:27" x14ac:dyDescent="0.25">
      <c r="H295" s="15">
        <f t="shared" si="91"/>
        <v>2.8899999999999824</v>
      </c>
      <c r="I295" s="9">
        <f t="shared" si="76"/>
        <v>49.919862970847596</v>
      </c>
      <c r="J295">
        <f t="shared" si="87"/>
        <v>49.925485739502825</v>
      </c>
      <c r="K295">
        <f t="shared" si="90"/>
        <v>49.996250530923156</v>
      </c>
      <c r="M295" s="15">
        <f t="shared" si="92"/>
        <v>2.8899999999999824</v>
      </c>
      <c r="N295">
        <f t="shared" si="88"/>
        <v>4.2472168403591832E-4</v>
      </c>
      <c r="O295">
        <f t="shared" si="77"/>
        <v>1.4000407606981444E-3</v>
      </c>
      <c r="P295">
        <f t="shared" si="83"/>
        <v>-5.5408572444398153E-4</v>
      </c>
      <c r="Q295">
        <f t="shared" si="84"/>
        <v>-3.5828294309452578E-3</v>
      </c>
      <c r="R295">
        <f t="shared" si="78"/>
        <v>-1.0597802539195368E-3</v>
      </c>
      <c r="S295">
        <f t="shared" si="79"/>
        <v>6.1753951330714187E-6</v>
      </c>
      <c r="U295" s="15">
        <f t="shared" si="93"/>
        <v>2.8899999999999824</v>
      </c>
      <c r="V295">
        <f t="shared" si="89"/>
        <v>4.9998297868506887</v>
      </c>
      <c r="W295">
        <f t="shared" si="80"/>
        <v>1.702131493113157E-4</v>
      </c>
      <c r="X295">
        <f t="shared" si="85"/>
        <v>0.85087220847573342</v>
      </c>
      <c r="Y295">
        <f t="shared" si="86"/>
        <v>-4.3559069400345152E-4</v>
      </c>
      <c r="Z295">
        <f t="shared" si="81"/>
        <v>4.2472168403591832E-4</v>
      </c>
      <c r="AA295">
        <f t="shared" si="82"/>
        <v>1.8247624447340627E-3</v>
      </c>
    </row>
    <row r="296" spans="8:27" x14ac:dyDescent="0.25">
      <c r="H296" s="15">
        <f>H295+$E$8</f>
        <v>2.8999999999999821</v>
      </c>
      <c r="I296" s="9">
        <f t="shared" si="76"/>
        <v>49.921627899870153</v>
      </c>
      <c r="J296">
        <f t="shared" si="87"/>
        <v>49.927145174727059</v>
      </c>
      <c r="K296">
        <f t="shared" si="90"/>
        <v>49.996334031732488</v>
      </c>
      <c r="M296" s="15">
        <f>M295+$E$8</f>
        <v>2.8999999999999821</v>
      </c>
      <c r="N296">
        <f t="shared" si="88"/>
        <v>4.1412388149672297E-4</v>
      </c>
      <c r="O296">
        <f t="shared" si="77"/>
        <v>1.365106466131335E-3</v>
      </c>
      <c r="P296">
        <f t="shared" si="83"/>
        <v>-5.4025998830983411E-4</v>
      </c>
      <c r="Q296">
        <f t="shared" si="84"/>
        <v>-3.4934294566809449E-3</v>
      </c>
      <c r="R296">
        <f t="shared" si="78"/>
        <v>-1.0333362374472935E-3</v>
      </c>
      <c r="S296">
        <f t="shared" si="79"/>
        <v>6.0213038533100689E-6</v>
      </c>
      <c r="U296" s="15">
        <f>U295+$E$8</f>
        <v>2.8999999999999821</v>
      </c>
      <c r="V296">
        <f t="shared" si="89"/>
        <v>4.9998340340675291</v>
      </c>
      <c r="W296">
        <f t="shared" si="80"/>
        <v>1.6596593247086844E-4</v>
      </c>
      <c r="X296">
        <f t="shared" si="85"/>
        <v>0.85087388937114228</v>
      </c>
      <c r="Y296">
        <f t="shared" si="86"/>
        <v>-4.2472168404472654E-4</v>
      </c>
      <c r="Z296">
        <f t="shared" si="81"/>
        <v>4.1412388149672297E-4</v>
      </c>
      <c r="AA296">
        <f t="shared" si="82"/>
        <v>1.779230347628058E-3</v>
      </c>
    </row>
    <row r="297" spans="8:27" x14ac:dyDescent="0.25">
      <c r="H297" s="15">
        <f t="shared" ref="H297:H306" si="94">H296+$E$8</f>
        <v>2.9099999999999819</v>
      </c>
      <c r="I297" s="9">
        <f t="shared" si="76"/>
        <v>49.92335395829209</v>
      </c>
      <c r="J297">
        <f t="shared" si="87"/>
        <v>49.92876765426999</v>
      </c>
      <c r="K297">
        <f t="shared" si="90"/>
        <v>49.996415672975836</v>
      </c>
      <c r="M297" s="15">
        <f t="shared" ref="M297:M306" si="95">M296+$E$8</f>
        <v>2.9099999999999819</v>
      </c>
      <c r="N297">
        <f t="shared" si="88"/>
        <v>4.0379051912225002E-4</v>
      </c>
      <c r="O297">
        <f t="shared" si="77"/>
        <v>1.3310438639993585E-3</v>
      </c>
      <c r="P297">
        <f t="shared" si="83"/>
        <v>-5.2677923665918065E-4</v>
      </c>
      <c r="Q297">
        <f t="shared" si="84"/>
        <v>-3.4062602131976509E-3</v>
      </c>
      <c r="R297">
        <f t="shared" si="78"/>
        <v>-1.007552059973837E-3</v>
      </c>
      <c r="S297">
        <f t="shared" si="79"/>
        <v>5.8710574291629455E-6</v>
      </c>
      <c r="U297" s="15">
        <f t="shared" ref="U297:U306" si="96">U296+$E$8</f>
        <v>2.9099999999999819</v>
      </c>
      <c r="V297">
        <f t="shared" si="89"/>
        <v>4.9998381753063441</v>
      </c>
      <c r="W297">
        <f t="shared" si="80"/>
        <v>1.6182469365588759E-4</v>
      </c>
      <c r="X297">
        <f t="shared" si="85"/>
        <v>0.85087552832427293</v>
      </c>
      <c r="Y297">
        <f t="shared" si="86"/>
        <v>-4.1412388149808521E-4</v>
      </c>
      <c r="Z297">
        <f t="shared" si="81"/>
        <v>4.0379051912225002E-4</v>
      </c>
      <c r="AA297">
        <f t="shared" si="82"/>
        <v>1.7348343831216084E-3</v>
      </c>
    </row>
    <row r="298" spans="8:27" x14ac:dyDescent="0.25">
      <c r="H298" s="15">
        <f t="shared" si="94"/>
        <v>2.9199999999999817</v>
      </c>
      <c r="I298" s="9">
        <f t="shared" si="76"/>
        <v>49.925042002195198</v>
      </c>
      <c r="J298">
        <f t="shared" si="87"/>
        <v>49.930354001135953</v>
      </c>
      <c r="K298">
        <f t="shared" si="90"/>
        <v>49.996495496065798</v>
      </c>
      <c r="M298" s="15">
        <f t="shared" si="95"/>
        <v>2.9199999999999817</v>
      </c>
      <c r="N298">
        <f t="shared" si="88"/>
        <v>3.9371499852251167E-4</v>
      </c>
      <c r="O298">
        <f t="shared" si="77"/>
        <v>1.2978312034723418E-3</v>
      </c>
      <c r="P298">
        <f t="shared" si="83"/>
        <v>-5.1363486132182214E-4</v>
      </c>
      <c r="Q298">
        <f t="shared" si="84"/>
        <v>-3.3212660527016675E-3</v>
      </c>
      <c r="R298">
        <f t="shared" si="78"/>
        <v>-9.8241126195816424E-4</v>
      </c>
      <c r="S298">
        <f t="shared" si="79"/>
        <v>5.7245601914439337E-6</v>
      </c>
      <c r="U298" s="15">
        <f t="shared" si="96"/>
        <v>2.9199999999999817</v>
      </c>
      <c r="V298">
        <f t="shared" si="89"/>
        <v>4.9998422132115357</v>
      </c>
      <c r="W298">
        <f t="shared" si="80"/>
        <v>1.5778678846434246E-4</v>
      </c>
      <c r="X298">
        <f t="shared" si="85"/>
        <v>0.85087712638168356</v>
      </c>
      <c r="Y298">
        <f t="shared" si="86"/>
        <v>-4.0379051915451214E-4</v>
      </c>
      <c r="Z298">
        <f t="shared" si="81"/>
        <v>3.9371499852251167E-4</v>
      </c>
      <c r="AA298">
        <f t="shared" si="82"/>
        <v>1.6915462019948535E-3</v>
      </c>
    </row>
    <row r="299" spans="8:27" x14ac:dyDescent="0.25">
      <c r="H299" s="15">
        <f t="shared" si="94"/>
        <v>2.9299999999999815</v>
      </c>
      <c r="I299" s="9">
        <f t="shared" si="76"/>
        <v>49.926692868807024</v>
      </c>
      <c r="J299">
        <f t="shared" si="87"/>
        <v>49.931905020000947</v>
      </c>
      <c r="K299">
        <f t="shared" si="90"/>
        <v>49.996573541492715</v>
      </c>
      <c r="M299" s="15">
        <f t="shared" si="95"/>
        <v>2.9299999999999815</v>
      </c>
      <c r="N299">
        <f t="shared" si="88"/>
        <v>3.8389088590293002E-4</v>
      </c>
      <c r="O299">
        <f t="shared" si="77"/>
        <v>1.2654472765626667E-3</v>
      </c>
      <c r="P299">
        <f t="shared" si="83"/>
        <v>-5.0081846892164705E-4</v>
      </c>
      <c r="Q299">
        <f t="shared" si="84"/>
        <v>-3.2383926909675077E-3</v>
      </c>
      <c r="R299">
        <f t="shared" si="78"/>
        <v>-9.5789778586365918E-4</v>
      </c>
      <c r="S299">
        <f t="shared" si="79"/>
        <v>5.5817183925771421E-6</v>
      </c>
      <c r="U299" s="15">
        <f t="shared" si="96"/>
        <v>2.9299999999999815</v>
      </c>
      <c r="V299">
        <f t="shared" si="89"/>
        <v>4.9998461503615212</v>
      </c>
      <c r="W299">
        <f t="shared" si="80"/>
        <v>1.5384963847875355E-4</v>
      </c>
      <c r="X299">
        <f t="shared" si="85"/>
        <v>0.85087868456381832</v>
      </c>
      <c r="Y299">
        <f t="shared" si="86"/>
        <v>-3.9371499855889169E-4</v>
      </c>
      <c r="Z299">
        <f t="shared" si="81"/>
        <v>3.8389088590293002E-4</v>
      </c>
      <c r="AA299">
        <f t="shared" si="82"/>
        <v>1.6493381624655967E-3</v>
      </c>
    </row>
    <row r="300" spans="8:27" x14ac:dyDescent="0.25">
      <c r="H300" s="15">
        <f t="shared" si="94"/>
        <v>2.9399999999999813</v>
      </c>
      <c r="I300" s="9">
        <f t="shared" si="76"/>
        <v>49.928307376916095</v>
      </c>
      <c r="J300">
        <f t="shared" si="87"/>
        <v>49.933421497620806</v>
      </c>
      <c r="K300">
        <f t="shared" si="90"/>
        <v>49.996649848845209</v>
      </c>
      <c r="M300" s="15">
        <f t="shared" si="95"/>
        <v>2.9399999999999813</v>
      </c>
      <c r="N300">
        <f t="shared" si="88"/>
        <v>3.743119080442934E-4</v>
      </c>
      <c r="O300">
        <f t="shared" si="77"/>
        <v>1.2338714044276291E-3</v>
      </c>
      <c r="P300">
        <f t="shared" si="83"/>
        <v>-4.883218755166956E-4</v>
      </c>
      <c r="Q300">
        <f t="shared" si="84"/>
        <v>-3.1575872135037632E-3</v>
      </c>
      <c r="R300">
        <f t="shared" si="78"/>
        <v>-9.3399597931949742E-4</v>
      </c>
      <c r="S300">
        <f t="shared" si="79"/>
        <v>5.4424408632573924E-6</v>
      </c>
      <c r="U300" s="15">
        <f t="shared" si="96"/>
        <v>2.9399999999999813</v>
      </c>
      <c r="V300">
        <f t="shared" si="89"/>
        <v>4.9998499892703805</v>
      </c>
      <c r="W300">
        <f t="shared" si="80"/>
        <v>1.5001072961950968E-4</v>
      </c>
      <c r="X300">
        <f t="shared" si="85"/>
        <v>0.85088020386565877</v>
      </c>
      <c r="Y300">
        <f t="shared" si="86"/>
        <v>-3.8389088592438725E-4</v>
      </c>
      <c r="Z300">
        <f t="shared" si="81"/>
        <v>3.743119080442934E-4</v>
      </c>
      <c r="AA300">
        <f t="shared" si="82"/>
        <v>1.6081833124719225E-3</v>
      </c>
    </row>
    <row r="301" spans="8:27" x14ac:dyDescent="0.25">
      <c r="H301" s="15">
        <f t="shared" si="94"/>
        <v>2.9499999999999811</v>
      </c>
      <c r="I301" s="9">
        <f t="shared" si="76"/>
        <v>49.929886327278012</v>
      </c>
      <c r="J301">
        <f t="shared" si="87"/>
        <v>49.934904203230282</v>
      </c>
      <c r="K301">
        <f t="shared" si="90"/>
        <v>49.99672445683025</v>
      </c>
      <c r="M301" s="15">
        <f t="shared" si="95"/>
        <v>2.9499999999999811</v>
      </c>
      <c r="N301">
        <f t="shared" si="88"/>
        <v>3.6497194825109842E-4</v>
      </c>
      <c r="O301">
        <f t="shared" si="77"/>
        <v>1.2030834241939889E-3</v>
      </c>
      <c r="P301">
        <f t="shared" si="83"/>
        <v>-4.7613710137358749E-4</v>
      </c>
      <c r="Q301">
        <f t="shared" si="84"/>
        <v>-3.0787980233640136E-3</v>
      </c>
      <c r="R301">
        <f t="shared" si="78"/>
        <v>-9.1069058058440263E-4</v>
      </c>
      <c r="S301">
        <f t="shared" si="79"/>
        <v>5.3066387135996488E-6</v>
      </c>
      <c r="U301" s="15">
        <f t="shared" si="96"/>
        <v>2.9499999999999811</v>
      </c>
      <c r="V301">
        <f t="shared" si="89"/>
        <v>4.999853732389461</v>
      </c>
      <c r="W301">
        <f t="shared" si="80"/>
        <v>1.4626761053904147E-4</v>
      </c>
      <c r="X301">
        <f t="shared" si="85"/>
        <v>0.85088168525735952</v>
      </c>
      <c r="Y301">
        <f t="shared" si="86"/>
        <v>-3.7431190804682046E-4</v>
      </c>
      <c r="Z301">
        <f t="shared" si="81"/>
        <v>3.6497194825109842E-4</v>
      </c>
      <c r="AA301">
        <f t="shared" si="82"/>
        <v>1.5680553724450874E-3</v>
      </c>
    </row>
    <row r="302" spans="8:27" x14ac:dyDescent="0.25">
      <c r="H302" s="15">
        <f t="shared" si="94"/>
        <v>2.9599999999999809</v>
      </c>
      <c r="I302" s="9">
        <f t="shared" si="76"/>
        <v>49.93143050301267</v>
      </c>
      <c r="J302">
        <f t="shared" si="87"/>
        <v>49.93635388893324</v>
      </c>
      <c r="K302">
        <f t="shared" si="90"/>
        <v>49.996797403292824</v>
      </c>
      <c r="M302" s="15">
        <f t="shared" si="95"/>
        <v>2.9599999999999809</v>
      </c>
      <c r="N302">
        <f t="shared" si="88"/>
        <v>3.5586504244525442E-4</v>
      </c>
      <c r="O302">
        <f t="shared" si="77"/>
        <v>1.1730636761274318E-3</v>
      </c>
      <c r="P302">
        <f t="shared" si="83"/>
        <v>-4.6425636587198036E-4</v>
      </c>
      <c r="Q302">
        <f t="shared" si="84"/>
        <v>-3.0019748066557102E-3</v>
      </c>
      <c r="R302">
        <f t="shared" si="78"/>
        <v>-8.8796670686715293E-4</v>
      </c>
      <c r="S302">
        <f t="shared" si="79"/>
        <v>5.1742251715950621E-6</v>
      </c>
      <c r="U302" s="15">
        <f t="shared" si="96"/>
        <v>2.9599999999999809</v>
      </c>
      <c r="V302">
        <f t="shared" si="89"/>
        <v>4.9998573821089431</v>
      </c>
      <c r="W302">
        <f t="shared" si="80"/>
        <v>1.4261789105685097E-4</v>
      </c>
      <c r="X302">
        <f t="shared" si="85"/>
        <v>0.85088312968486746</v>
      </c>
      <c r="Y302">
        <f t="shared" si="86"/>
        <v>-3.6497194821905055E-4</v>
      </c>
      <c r="Z302">
        <f t="shared" si="81"/>
        <v>3.5586504244525442E-4</v>
      </c>
      <c r="AA302">
        <f t="shared" si="82"/>
        <v>1.5289287185726863E-3</v>
      </c>
    </row>
    <row r="303" spans="8:27" x14ac:dyDescent="0.25">
      <c r="H303" s="15">
        <f t="shared" si="94"/>
        <v>2.9699999999999807</v>
      </c>
      <c r="I303" s="9">
        <f t="shared" si="76"/>
        <v>49.932940669992597</v>
      </c>
      <c r="J303">
        <f t="shared" si="87"/>
        <v>49.937771290084179</v>
      </c>
      <c r="K303">
        <f t="shared" si="90"/>
        <v>49.996868725235089</v>
      </c>
      <c r="M303" s="15">
        <f t="shared" si="95"/>
        <v>2.9699999999999807</v>
      </c>
      <c r="N303">
        <f t="shared" si="88"/>
        <v>3.4698537537658291E-4</v>
      </c>
      <c r="O303">
        <f t="shared" si="77"/>
        <v>1.1437929910103083E-3</v>
      </c>
      <c r="P303">
        <f t="shared" si="83"/>
        <v>-4.5267208253629165E-4</v>
      </c>
      <c r="Q303">
        <f t="shared" si="84"/>
        <v>-2.9270685117123484E-3</v>
      </c>
      <c r="R303">
        <f t="shared" si="78"/>
        <v>-8.658098494820131E-4</v>
      </c>
      <c r="S303">
        <f t="shared" si="79"/>
        <v>5.0451157779650858E-6</v>
      </c>
      <c r="U303" s="15">
        <f t="shared" si="96"/>
        <v>2.9699999999999807</v>
      </c>
      <c r="V303">
        <f t="shared" si="89"/>
        <v>4.9998609407593673</v>
      </c>
      <c r="W303">
        <f t="shared" si="80"/>
        <v>1.3905924063273289E-4</v>
      </c>
      <c r="X303">
        <f t="shared" si="85"/>
        <v>0.85088453807052589</v>
      </c>
      <c r="Y303">
        <f t="shared" si="86"/>
        <v>-3.5586504241180705E-4</v>
      </c>
      <c r="Z303">
        <f t="shared" si="81"/>
        <v>3.4698537537658291E-4</v>
      </c>
      <c r="AA303">
        <f t="shared" si="82"/>
        <v>1.4907783663868912E-3</v>
      </c>
    </row>
    <row r="304" spans="8:27" x14ac:dyDescent="0.25">
      <c r="H304" s="15">
        <f t="shared" si="94"/>
        <v>2.9799999999999804</v>
      </c>
      <c r="I304" s="9">
        <f t="shared" si="76"/>
        <v>49.93441757722281</v>
      </c>
      <c r="J304">
        <f t="shared" si="87"/>
        <v>49.939157125661211</v>
      </c>
      <c r="K304">
        <f t="shared" si="90"/>
        <v>49.996938458835167</v>
      </c>
      <c r="M304" s="15">
        <f t="shared" si="95"/>
        <v>2.9799999999999804</v>
      </c>
      <c r="N304">
        <f t="shared" si="88"/>
        <v>3.3832727688176277E-4</v>
      </c>
      <c r="O304">
        <f t="shared" si="77"/>
        <v>1.115252677984295E-3</v>
      </c>
      <c r="P304">
        <f t="shared" si="83"/>
        <v>-4.4137685419131864E-4</v>
      </c>
      <c r="Q304">
        <f t="shared" si="84"/>
        <v>-2.8540313026013389E-3</v>
      </c>
      <c r="R304">
        <f t="shared" si="78"/>
        <v>-8.4420585865207381E-4</v>
      </c>
      <c r="S304">
        <f t="shared" si="79"/>
        <v>4.9192280140166692E-6</v>
      </c>
      <c r="U304" s="15">
        <f t="shared" si="96"/>
        <v>2.9799999999999804</v>
      </c>
      <c r="V304">
        <f t="shared" si="89"/>
        <v>4.9998644106131209</v>
      </c>
      <c r="W304">
        <f t="shared" si="80"/>
        <v>1.3558938687907585E-4</v>
      </c>
      <c r="X304">
        <f t="shared" si="85"/>
        <v>0.85088591131366342</v>
      </c>
      <c r="Y304">
        <f t="shared" si="86"/>
        <v>-3.4698537536570484E-4</v>
      </c>
      <c r="Z304">
        <f t="shared" si="81"/>
        <v>3.3832727688176277E-4</v>
      </c>
      <c r="AA304">
        <f t="shared" si="82"/>
        <v>1.4535799548660577E-3</v>
      </c>
    </row>
    <row r="305" spans="8:27" x14ac:dyDescent="0.25">
      <c r="H305" s="15">
        <f t="shared" si="94"/>
        <v>2.9899999999999802</v>
      </c>
      <c r="I305" s="9">
        <f t="shared" si="76"/>
        <v>49.935861957212353</v>
      </c>
      <c r="J305">
        <f t="shared" si="87"/>
        <v>49.940512098630784</v>
      </c>
      <c r="K305">
        <f t="shared" si="90"/>
        <v>49.997006639465496</v>
      </c>
      <c r="M305" s="15">
        <f t="shared" si="95"/>
        <v>2.9899999999999802</v>
      </c>
      <c r="N305">
        <f t="shared" si="88"/>
        <v>3.2988521829524205E-4</v>
      </c>
      <c r="O305">
        <f t="shared" si="77"/>
        <v>1.0874245125999135E-3</v>
      </c>
      <c r="P305">
        <f t="shared" si="83"/>
        <v>-4.3036346823839761E-4</v>
      </c>
      <c r="Q305">
        <f t="shared" si="84"/>
        <v>-2.7828165384381461E-3</v>
      </c>
      <c r="R305">
        <f t="shared" si="78"/>
        <v>-8.2314093689809956E-4</v>
      </c>
      <c r="S305">
        <f t="shared" si="79"/>
        <v>4.7964813765426304E-6</v>
      </c>
      <c r="U305" s="15">
        <f t="shared" si="96"/>
        <v>2.9899999999999802</v>
      </c>
      <c r="V305">
        <f t="shared" si="89"/>
        <v>4.9998677938858895</v>
      </c>
      <c r="W305">
        <f t="shared" si="80"/>
        <v>1.322061141104669E-4</v>
      </c>
      <c r="X305">
        <f t="shared" si="85"/>
        <v>0.85088725029116841</v>
      </c>
      <c r="Y305">
        <f t="shared" si="86"/>
        <v>-3.383272768608947E-4</v>
      </c>
      <c r="Z305">
        <f t="shared" si="81"/>
        <v>3.2988521829524205E-4</v>
      </c>
      <c r="AA305">
        <f t="shared" si="82"/>
        <v>1.4173097308951554E-3</v>
      </c>
    </row>
    <row r="306" spans="8:27" x14ac:dyDescent="0.25">
      <c r="H306" s="15">
        <f t="shared" si="94"/>
        <v>2.99999999999998</v>
      </c>
      <c r="I306" s="9">
        <f t="shared" si="76"/>
        <v>49.937274526337553</v>
      </c>
      <c r="J306">
        <f t="shared" si="87"/>
        <v>49.941836896304267</v>
      </c>
      <c r="K306">
        <f t="shared" si="90"/>
        <v>49.99707330171077</v>
      </c>
      <c r="M306" s="15">
        <f t="shared" si="95"/>
        <v>2.99999999999998</v>
      </c>
      <c r="N306">
        <f t="shared" si="88"/>
        <v>3.2165380892626108E-4</v>
      </c>
      <c r="O306">
        <f t="shared" si="77"/>
        <v>1.0602907250823778E-3</v>
      </c>
      <c r="P306">
        <f t="shared" si="83"/>
        <v>-4.1962489204998613E-4</v>
      </c>
      <c r="Q306">
        <f t="shared" si="84"/>
        <v>-2.7133787517535706E-3</v>
      </c>
      <c r="R306">
        <f t="shared" si="78"/>
        <v>-8.0260163534160095E-4</v>
      </c>
      <c r="S306">
        <f t="shared" si="79"/>
        <v>4.6767976027109904E-6</v>
      </c>
      <c r="U306" s="15">
        <f t="shared" si="96"/>
        <v>2.99999999999998</v>
      </c>
      <c r="V306">
        <f t="shared" si="89"/>
        <v>4.9998710927380721</v>
      </c>
      <c r="W306">
        <f t="shared" si="80"/>
        <v>1.2890726192793522E-4</v>
      </c>
      <c r="X306">
        <f>X305+(W306+W305)*$E$8/2</f>
        <v>0.85088855585804857</v>
      </c>
      <c r="Y306">
        <f t="shared" si="86"/>
        <v>-3.2988521825316752E-4</v>
      </c>
      <c r="Z306">
        <f t="shared" si="81"/>
        <v>3.2165380892626108E-4</v>
      </c>
      <c r="AA306">
        <f t="shared" si="82"/>
        <v>1.3819445340086389E-3</v>
      </c>
    </row>
  </sheetData>
  <mergeCells count="25">
    <mergeCell ref="AC3:AM4"/>
    <mergeCell ref="H2:K3"/>
    <mergeCell ref="H4:H5"/>
    <mergeCell ref="I4:I5"/>
    <mergeCell ref="J4:J5"/>
    <mergeCell ref="K4:K5"/>
    <mergeCell ref="R4:R5"/>
    <mergeCell ref="U4:U5"/>
    <mergeCell ref="V4:V5"/>
    <mergeCell ref="W4:W5"/>
    <mergeCell ref="X4:X5"/>
    <mergeCell ref="U2:AA3"/>
    <mergeCell ref="Y4:Y5"/>
    <mergeCell ref="Z4:Z5"/>
    <mergeCell ref="AA4:AA5"/>
    <mergeCell ref="M2:S3"/>
    <mergeCell ref="B31:C32"/>
    <mergeCell ref="M4:M5"/>
    <mergeCell ref="N4:N5"/>
    <mergeCell ref="O4:O5"/>
    <mergeCell ref="P4:P5"/>
    <mergeCell ref="Q4:Q5"/>
    <mergeCell ref="S4:S5"/>
    <mergeCell ref="B3:E4"/>
    <mergeCell ref="B16:E17"/>
  </mergeCells>
  <pageMargins left="0.7" right="0.7" top="0.75" bottom="0.75" header="0.3" footer="0.3"/>
  <ignoredErrors>
    <ignoredError sqref="I6" formula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Jeremiah Goates</dc:creator>
  <cp:lastModifiedBy>Jeremiah Goates</cp:lastModifiedBy>
  <dcterms:created xsi:type="dcterms:W3CDTF">2026-02-13T16:53:54Z</dcterms:created>
  <dcterms:modified xsi:type="dcterms:W3CDTF">2026-02-18T19:57:19Z</dcterms:modified>
</cp:coreProperties>
</file>