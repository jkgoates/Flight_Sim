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Flight_Sim\dev\"/>
    </mc:Choice>
  </mc:AlternateContent>
  <xr:revisionPtr revIDLastSave="0" documentId="13_ncr:1_{33AB5181-F76F-42B5-A5FB-8CF0DF71A7EE}" xr6:coauthVersionLast="47" xr6:coauthVersionMax="47" xr10:uidLastSave="{00000000-0000-0000-0000-000000000000}"/>
  <bookViews>
    <workbookView xWindow="-120" yWindow="-120" windowWidth="38640" windowHeight="21240" xr2:uid="{449B0D0B-F1CC-44A4-9497-F7B374135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W7" i="1"/>
  <c r="W6" i="1"/>
  <c r="AA6" i="1" s="1"/>
  <c r="O6" i="1" s="1"/>
  <c r="S6" i="1" s="1"/>
  <c r="P7" i="1" s="1"/>
  <c r="Z6" i="1"/>
  <c r="Y6" i="1"/>
  <c r="V6" i="1"/>
  <c r="U6" i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N6" i="1"/>
  <c r="Q6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J6" i="1"/>
  <c r="H6" i="1"/>
  <c r="H7" i="1" s="1"/>
  <c r="C20" i="1"/>
  <c r="C18" i="1"/>
  <c r="C19" i="1" s="1"/>
  <c r="J7" i="1" l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I6" i="1"/>
  <c r="H8" i="1"/>
  <c r="H9" i="1" s="1"/>
  <c r="H10" i="1" s="1"/>
  <c r="H11" i="1" s="1"/>
  <c r="H12" i="1" s="1"/>
  <c r="I7" i="1"/>
  <c r="R6" i="1"/>
  <c r="N7" i="1" s="1"/>
  <c r="Z7" i="1" l="1"/>
  <c r="I9" i="1"/>
  <c r="I11" i="1"/>
  <c r="I8" i="1"/>
  <c r="I10" i="1"/>
  <c r="H13" i="1"/>
  <c r="I12" i="1"/>
  <c r="Y7" i="1" l="1"/>
  <c r="X7" i="1"/>
  <c r="H14" i="1"/>
  <c r="I13" i="1"/>
  <c r="AA7" i="1" l="1"/>
  <c r="O7" i="1" s="1"/>
  <c r="Q7" i="1" s="1"/>
  <c r="S7" i="1" s="1"/>
  <c r="P8" i="1" s="1"/>
  <c r="V8" i="1"/>
  <c r="W8" i="1" s="1"/>
  <c r="X8" i="1" s="1"/>
  <c r="H15" i="1"/>
  <c r="I14" i="1"/>
  <c r="R7" i="1" l="1"/>
  <c r="N8" i="1" s="1"/>
  <c r="Z8" i="1" s="1"/>
  <c r="Y8" i="1"/>
  <c r="AA8" i="1" s="1"/>
  <c r="H16" i="1"/>
  <c r="I15" i="1"/>
  <c r="O8" i="1" l="1"/>
  <c r="Q8" i="1" s="1"/>
  <c r="V9" i="1"/>
  <c r="W9" i="1" s="1"/>
  <c r="H17" i="1"/>
  <c r="I16" i="1"/>
  <c r="S8" i="1" l="1"/>
  <c r="P9" i="1" s="1"/>
  <c r="Y9" i="1"/>
  <c r="X9" i="1"/>
  <c r="H18" i="1"/>
  <c r="I17" i="1"/>
  <c r="R8" i="1" l="1"/>
  <c r="N9" i="1" s="1"/>
  <c r="Z9" i="1" s="1"/>
  <c r="AA9" i="1"/>
  <c r="H19" i="1"/>
  <c r="I18" i="1"/>
  <c r="O9" i="1" l="1"/>
  <c r="Q9" i="1" s="1"/>
  <c r="S9" i="1" s="1"/>
  <c r="P10" i="1" s="1"/>
  <c r="V10" i="1"/>
  <c r="W10" i="1" s="1"/>
  <c r="H20" i="1"/>
  <c r="I19" i="1"/>
  <c r="Y10" i="1" l="1"/>
  <c r="H21" i="1"/>
  <c r="I20" i="1"/>
  <c r="X10" i="1" l="1"/>
  <c r="AA10" i="1" s="1"/>
  <c r="R9" i="1"/>
  <c r="N10" i="1" s="1"/>
  <c r="Z10" i="1" s="1"/>
  <c r="H22" i="1"/>
  <c r="I21" i="1"/>
  <c r="O10" i="1" l="1"/>
  <c r="V11" i="1"/>
  <c r="W11" i="1" s="1"/>
  <c r="H23" i="1"/>
  <c r="I22" i="1"/>
  <c r="Y11" i="1" l="1"/>
  <c r="X11" i="1"/>
  <c r="Q10" i="1"/>
  <c r="S10" i="1" s="1"/>
  <c r="H24" i="1"/>
  <c r="I23" i="1"/>
  <c r="AA11" i="1" l="1"/>
  <c r="H25" i="1"/>
  <c r="I24" i="1"/>
  <c r="R10" i="1" l="1"/>
  <c r="N11" i="1" s="1"/>
  <c r="H26" i="1"/>
  <c r="I25" i="1"/>
  <c r="Z11" i="1" l="1"/>
  <c r="V12" i="1" s="1"/>
  <c r="W12" i="1" s="1"/>
  <c r="Y12" i="1" s="1"/>
  <c r="O11" i="1"/>
  <c r="P11" i="1" s="1"/>
  <c r="H27" i="1"/>
  <c r="I26" i="1"/>
  <c r="X12" i="1" l="1"/>
  <c r="AA12" i="1" s="1"/>
  <c r="Q11" i="1"/>
  <c r="S11" i="1" s="1"/>
  <c r="H28" i="1"/>
  <c r="I27" i="1"/>
  <c r="H29" i="1" l="1"/>
  <c r="I28" i="1"/>
  <c r="R11" i="1" l="1"/>
  <c r="N12" i="1" s="1"/>
  <c r="H30" i="1"/>
  <c r="I29" i="1"/>
  <c r="Z12" i="1" l="1"/>
  <c r="V13" i="1" s="1"/>
  <c r="W13" i="1" s="1"/>
  <c r="X13" i="1" s="1"/>
  <c r="O12" i="1"/>
  <c r="P12" i="1" s="1"/>
  <c r="H31" i="1"/>
  <c r="I30" i="1"/>
  <c r="Y13" i="1" l="1"/>
  <c r="AA13" i="1" s="1"/>
  <c r="Q12" i="1"/>
  <c r="S12" i="1" s="1"/>
  <c r="H32" i="1"/>
  <c r="I31" i="1"/>
  <c r="H33" i="1" l="1"/>
  <c r="I32" i="1"/>
  <c r="R12" i="1" l="1"/>
  <c r="N13" i="1" s="1"/>
  <c r="H34" i="1"/>
  <c r="I33" i="1"/>
  <c r="Z13" i="1" l="1"/>
  <c r="V14" i="1" s="1"/>
  <c r="W14" i="1" s="1"/>
  <c r="O13" i="1"/>
  <c r="P13" i="1" s="1"/>
  <c r="H35" i="1"/>
  <c r="I34" i="1"/>
  <c r="X14" i="1" l="1"/>
  <c r="Y14" i="1"/>
  <c r="Q13" i="1"/>
  <c r="S13" i="1" s="1"/>
  <c r="H36" i="1"/>
  <c r="I35" i="1"/>
  <c r="AA14" i="1" l="1"/>
  <c r="H37" i="1"/>
  <c r="I36" i="1"/>
  <c r="R13" i="1" l="1"/>
  <c r="N14" i="1" s="1"/>
  <c r="H38" i="1"/>
  <c r="I37" i="1"/>
  <c r="Z14" i="1" l="1"/>
  <c r="V15" i="1" s="1"/>
  <c r="W15" i="1" s="1"/>
  <c r="X15" i="1" s="1"/>
  <c r="O14" i="1"/>
  <c r="P14" i="1" s="1"/>
  <c r="H39" i="1"/>
  <c r="I38" i="1"/>
  <c r="Y15" i="1" l="1"/>
  <c r="AA15" i="1" s="1"/>
  <c r="Q14" i="1"/>
  <c r="S14" i="1" s="1"/>
  <c r="H40" i="1"/>
  <c r="I39" i="1"/>
  <c r="H41" i="1" l="1"/>
  <c r="I40" i="1"/>
  <c r="R14" i="1" l="1"/>
  <c r="N15" i="1" s="1"/>
  <c r="H42" i="1"/>
  <c r="I41" i="1"/>
  <c r="Z15" i="1" l="1"/>
  <c r="V16" i="1" s="1"/>
  <c r="W16" i="1" s="1"/>
  <c r="O15" i="1"/>
  <c r="P15" i="1" s="1"/>
  <c r="H43" i="1"/>
  <c r="I42" i="1"/>
  <c r="Y16" i="1" l="1"/>
  <c r="X16" i="1"/>
  <c r="Q15" i="1"/>
  <c r="S15" i="1" s="1"/>
  <c r="H44" i="1"/>
  <c r="I43" i="1"/>
  <c r="AA16" i="1" l="1"/>
  <c r="H45" i="1"/>
  <c r="I44" i="1"/>
  <c r="R15" i="1" l="1"/>
  <c r="N16" i="1" s="1"/>
  <c r="H46" i="1"/>
  <c r="I45" i="1"/>
  <c r="Z16" i="1" l="1"/>
  <c r="V17" i="1" s="1"/>
  <c r="W17" i="1" s="1"/>
  <c r="O16" i="1"/>
  <c r="P16" i="1" s="1"/>
  <c r="H47" i="1"/>
  <c r="I46" i="1"/>
  <c r="Y17" i="1" l="1"/>
  <c r="X17" i="1"/>
  <c r="Q16" i="1"/>
  <c r="S16" i="1" s="1"/>
  <c r="H48" i="1"/>
  <c r="I47" i="1"/>
  <c r="AA17" i="1" l="1"/>
  <c r="H49" i="1"/>
  <c r="I48" i="1"/>
  <c r="R16" i="1" l="1"/>
  <c r="N17" i="1" s="1"/>
  <c r="Z17" i="1" s="1"/>
  <c r="V18" i="1" s="1"/>
  <c r="H50" i="1"/>
  <c r="I49" i="1"/>
  <c r="O17" i="1" l="1"/>
  <c r="P17" i="1" s="1"/>
  <c r="W18" i="1"/>
  <c r="H51" i="1"/>
  <c r="I50" i="1"/>
  <c r="Y18" i="1" l="1"/>
  <c r="X18" i="1"/>
  <c r="Q17" i="1"/>
  <c r="S17" i="1" s="1"/>
  <c r="H52" i="1"/>
  <c r="I51" i="1"/>
  <c r="AA18" i="1" l="1"/>
  <c r="H53" i="1"/>
  <c r="I52" i="1"/>
  <c r="R17" i="1" l="1"/>
  <c r="N18" i="1" s="1"/>
  <c r="Z18" i="1" s="1"/>
  <c r="V19" i="1" s="1"/>
  <c r="H54" i="1"/>
  <c r="I53" i="1"/>
  <c r="O18" i="1" l="1"/>
  <c r="P18" i="1" s="1"/>
  <c r="W19" i="1"/>
  <c r="H55" i="1"/>
  <c r="I54" i="1"/>
  <c r="Y19" i="1" l="1"/>
  <c r="X19" i="1"/>
  <c r="Q18" i="1"/>
  <c r="S18" i="1" s="1"/>
  <c r="H56" i="1"/>
  <c r="I55" i="1"/>
  <c r="AA19" i="1" l="1"/>
  <c r="H57" i="1"/>
  <c r="I56" i="1"/>
  <c r="R18" i="1" l="1"/>
  <c r="N19" i="1" s="1"/>
  <c r="Z19" i="1" s="1"/>
  <c r="V20" i="1" s="1"/>
  <c r="H58" i="1"/>
  <c r="I57" i="1"/>
  <c r="O19" i="1" l="1"/>
  <c r="P19" i="1" s="1"/>
  <c r="W20" i="1"/>
  <c r="H59" i="1"/>
  <c r="I58" i="1"/>
  <c r="Y20" i="1" l="1"/>
  <c r="X20" i="1"/>
  <c r="Q19" i="1"/>
  <c r="S19" i="1" s="1"/>
  <c r="H60" i="1"/>
  <c r="I59" i="1"/>
  <c r="AA20" i="1" l="1"/>
  <c r="H61" i="1"/>
  <c r="I60" i="1"/>
  <c r="R19" i="1" l="1"/>
  <c r="N20" i="1" s="1"/>
  <c r="Z20" i="1" s="1"/>
  <c r="V21" i="1" s="1"/>
  <c r="H62" i="1"/>
  <c r="I61" i="1"/>
  <c r="O20" i="1" l="1"/>
  <c r="P20" i="1" s="1"/>
  <c r="W21" i="1"/>
  <c r="H63" i="1"/>
  <c r="I62" i="1"/>
  <c r="Y21" i="1" l="1"/>
  <c r="X21" i="1"/>
  <c r="Q20" i="1"/>
  <c r="S20" i="1" s="1"/>
  <c r="H64" i="1"/>
  <c r="I63" i="1"/>
  <c r="AA21" i="1" l="1"/>
  <c r="H65" i="1"/>
  <c r="I64" i="1"/>
  <c r="R20" i="1" l="1"/>
  <c r="N21" i="1" s="1"/>
  <c r="Z21" i="1" s="1"/>
  <c r="V22" i="1" s="1"/>
  <c r="H66" i="1"/>
  <c r="I65" i="1"/>
  <c r="O21" i="1" l="1"/>
  <c r="P21" i="1" s="1"/>
  <c r="W22" i="1"/>
  <c r="H67" i="1"/>
  <c r="I66" i="1"/>
  <c r="Y22" i="1" l="1"/>
  <c r="X22" i="1"/>
  <c r="Q21" i="1"/>
  <c r="S21" i="1" s="1"/>
  <c r="H68" i="1"/>
  <c r="I67" i="1"/>
  <c r="AA22" i="1" l="1"/>
  <c r="H69" i="1"/>
  <c r="I68" i="1"/>
  <c r="R21" i="1" l="1"/>
  <c r="N22" i="1" s="1"/>
  <c r="H70" i="1"/>
  <c r="I69" i="1"/>
  <c r="Z22" i="1" l="1"/>
  <c r="V23" i="1" s="1"/>
  <c r="W23" i="1" s="1"/>
  <c r="O22" i="1"/>
  <c r="P22" i="1" s="1"/>
  <c r="H71" i="1"/>
  <c r="I70" i="1"/>
  <c r="Y23" i="1" l="1"/>
  <c r="X23" i="1"/>
  <c r="Q22" i="1"/>
  <c r="S22" i="1" s="1"/>
  <c r="H72" i="1"/>
  <c r="I71" i="1"/>
  <c r="AA23" i="1" l="1"/>
  <c r="H73" i="1"/>
  <c r="I72" i="1"/>
  <c r="R22" i="1" l="1"/>
  <c r="N23" i="1" s="1"/>
  <c r="H74" i="1"/>
  <c r="I73" i="1"/>
  <c r="Z23" i="1" l="1"/>
  <c r="V24" i="1" s="1"/>
  <c r="W24" i="1" s="1"/>
  <c r="O23" i="1"/>
  <c r="P23" i="1" s="1"/>
  <c r="H75" i="1"/>
  <c r="I74" i="1"/>
  <c r="Y24" i="1" l="1"/>
  <c r="X24" i="1"/>
  <c r="Q23" i="1"/>
  <c r="S23" i="1" s="1"/>
  <c r="H76" i="1"/>
  <c r="I75" i="1"/>
  <c r="AA24" i="1" l="1"/>
  <c r="H77" i="1"/>
  <c r="I76" i="1"/>
  <c r="R23" i="1" l="1"/>
  <c r="N24" i="1" s="1"/>
  <c r="Z24" i="1" s="1"/>
  <c r="V25" i="1" s="1"/>
  <c r="H78" i="1"/>
  <c r="I77" i="1"/>
  <c r="O24" i="1" l="1"/>
  <c r="P24" i="1" s="1"/>
  <c r="W25" i="1"/>
  <c r="H79" i="1"/>
  <c r="I78" i="1"/>
  <c r="Y25" i="1" l="1"/>
  <c r="X25" i="1"/>
  <c r="Q24" i="1"/>
  <c r="S24" i="1" s="1"/>
  <c r="H80" i="1"/>
  <c r="I79" i="1"/>
  <c r="AA25" i="1" l="1"/>
  <c r="H81" i="1"/>
  <c r="I80" i="1"/>
  <c r="R24" i="1" l="1"/>
  <c r="N25" i="1" s="1"/>
  <c r="Z25" i="1" s="1"/>
  <c r="V26" i="1" s="1"/>
  <c r="H82" i="1"/>
  <c r="I81" i="1"/>
  <c r="O25" i="1" l="1"/>
  <c r="P25" i="1" s="1"/>
  <c r="W26" i="1"/>
  <c r="H83" i="1"/>
  <c r="I82" i="1"/>
  <c r="Y26" i="1" l="1"/>
  <c r="X26" i="1"/>
  <c r="Q25" i="1"/>
  <c r="S25" i="1" s="1"/>
  <c r="H84" i="1"/>
  <c r="I83" i="1"/>
  <c r="AA26" i="1" l="1"/>
  <c r="H85" i="1"/>
  <c r="I84" i="1"/>
  <c r="R25" i="1" l="1"/>
  <c r="N26" i="1" s="1"/>
  <c r="Z26" i="1" s="1"/>
  <c r="V27" i="1" s="1"/>
  <c r="H86" i="1"/>
  <c r="I85" i="1"/>
  <c r="O26" i="1" l="1"/>
  <c r="P26" i="1" s="1"/>
  <c r="W27" i="1"/>
  <c r="H87" i="1"/>
  <c r="I86" i="1"/>
  <c r="Y27" i="1" l="1"/>
  <c r="X27" i="1"/>
  <c r="Q26" i="1"/>
  <c r="S26" i="1" s="1"/>
  <c r="H88" i="1"/>
  <c r="I87" i="1"/>
  <c r="AA27" i="1" l="1"/>
  <c r="H89" i="1"/>
  <c r="I88" i="1"/>
  <c r="R26" i="1" l="1"/>
  <c r="N27" i="1" s="1"/>
  <c r="H90" i="1"/>
  <c r="I89" i="1"/>
  <c r="Z27" i="1" l="1"/>
  <c r="V28" i="1" s="1"/>
  <c r="W28" i="1" s="1"/>
  <c r="O27" i="1"/>
  <c r="P27" i="1" s="1"/>
  <c r="H91" i="1"/>
  <c r="I90" i="1"/>
  <c r="Y28" i="1" l="1"/>
  <c r="X28" i="1"/>
  <c r="Q27" i="1"/>
  <c r="S27" i="1" s="1"/>
  <c r="H92" i="1"/>
  <c r="I91" i="1"/>
  <c r="AA28" i="1" l="1"/>
  <c r="H93" i="1"/>
  <c r="I92" i="1"/>
  <c r="R27" i="1" l="1"/>
  <c r="N28" i="1" s="1"/>
  <c r="Z28" i="1" s="1"/>
  <c r="V29" i="1" s="1"/>
  <c r="H94" i="1"/>
  <c r="I93" i="1"/>
  <c r="O28" i="1" l="1"/>
  <c r="P28" i="1" s="1"/>
  <c r="W29" i="1"/>
  <c r="H95" i="1"/>
  <c r="I94" i="1"/>
  <c r="Y29" i="1" l="1"/>
  <c r="X29" i="1"/>
  <c r="Q28" i="1"/>
  <c r="S28" i="1" s="1"/>
  <c r="H96" i="1"/>
  <c r="I95" i="1"/>
  <c r="AA29" i="1" l="1"/>
  <c r="H97" i="1"/>
  <c r="I96" i="1"/>
  <c r="R28" i="1" l="1"/>
  <c r="N29" i="1" s="1"/>
  <c r="Z29" i="1" s="1"/>
  <c r="V30" i="1" s="1"/>
  <c r="H98" i="1"/>
  <c r="I97" i="1"/>
  <c r="O29" i="1" l="1"/>
  <c r="P29" i="1" s="1"/>
  <c r="W30" i="1"/>
  <c r="H99" i="1"/>
  <c r="I98" i="1"/>
  <c r="Y30" i="1" l="1"/>
  <c r="X30" i="1"/>
  <c r="Q29" i="1"/>
  <c r="S29" i="1" s="1"/>
  <c r="H100" i="1"/>
  <c r="I99" i="1"/>
  <c r="AA30" i="1" l="1"/>
  <c r="H101" i="1"/>
  <c r="I100" i="1"/>
  <c r="R29" i="1" l="1"/>
  <c r="N30" i="1" s="1"/>
  <c r="Z30" i="1" s="1"/>
  <c r="V31" i="1" s="1"/>
  <c r="H102" i="1"/>
  <c r="I101" i="1"/>
  <c r="O30" i="1" l="1"/>
  <c r="P30" i="1" s="1"/>
  <c r="W31" i="1"/>
  <c r="H103" i="1"/>
  <c r="I102" i="1"/>
  <c r="Y31" i="1" l="1"/>
  <c r="X31" i="1"/>
  <c r="Q30" i="1"/>
  <c r="S30" i="1" s="1"/>
  <c r="H104" i="1"/>
  <c r="I103" i="1"/>
  <c r="AA31" i="1" l="1"/>
  <c r="H105" i="1"/>
  <c r="I104" i="1"/>
  <c r="R30" i="1" l="1"/>
  <c r="N31" i="1" s="1"/>
  <c r="H106" i="1"/>
  <c r="I105" i="1"/>
  <c r="Z31" i="1" l="1"/>
  <c r="V32" i="1" s="1"/>
  <c r="W32" i="1" s="1"/>
  <c r="O31" i="1"/>
  <c r="P31" i="1" s="1"/>
  <c r="H107" i="1"/>
  <c r="I106" i="1"/>
  <c r="Y32" i="1" l="1"/>
  <c r="X32" i="1"/>
  <c r="Q31" i="1"/>
  <c r="S31" i="1" s="1"/>
  <c r="H108" i="1"/>
  <c r="I107" i="1"/>
  <c r="AA32" i="1" l="1"/>
  <c r="H109" i="1"/>
  <c r="I108" i="1"/>
  <c r="R31" i="1" l="1"/>
  <c r="N32" i="1" s="1"/>
  <c r="Z32" i="1" s="1"/>
  <c r="V33" i="1" s="1"/>
  <c r="H110" i="1"/>
  <c r="I109" i="1"/>
  <c r="O32" i="1" l="1"/>
  <c r="P32" i="1" s="1"/>
  <c r="W33" i="1"/>
  <c r="H111" i="1"/>
  <c r="I110" i="1"/>
  <c r="Y33" i="1" l="1"/>
  <c r="X33" i="1"/>
  <c r="Q32" i="1"/>
  <c r="S32" i="1" s="1"/>
  <c r="H112" i="1"/>
  <c r="I111" i="1"/>
  <c r="AA33" i="1" l="1"/>
  <c r="H113" i="1"/>
  <c r="I112" i="1"/>
  <c r="R32" i="1" l="1"/>
  <c r="N33" i="1" s="1"/>
  <c r="Z33" i="1" s="1"/>
  <c r="V34" i="1" s="1"/>
  <c r="H114" i="1"/>
  <c r="I113" i="1"/>
  <c r="O33" i="1" l="1"/>
  <c r="P33" i="1" s="1"/>
  <c r="W34" i="1"/>
  <c r="H115" i="1"/>
  <c r="I114" i="1"/>
  <c r="Y34" i="1" l="1"/>
  <c r="X34" i="1"/>
  <c r="Q33" i="1"/>
  <c r="S33" i="1" s="1"/>
  <c r="H116" i="1"/>
  <c r="I115" i="1"/>
  <c r="AA34" i="1" l="1"/>
  <c r="H117" i="1"/>
  <c r="I116" i="1"/>
  <c r="R33" i="1" l="1"/>
  <c r="N34" i="1" s="1"/>
  <c r="H118" i="1"/>
  <c r="I117" i="1"/>
  <c r="Z34" i="1" l="1"/>
  <c r="V35" i="1" s="1"/>
  <c r="W35" i="1" s="1"/>
  <c r="O34" i="1"/>
  <c r="P34" i="1" s="1"/>
  <c r="H119" i="1"/>
  <c r="I118" i="1"/>
  <c r="Y35" i="1" l="1"/>
  <c r="X35" i="1"/>
  <c r="Q34" i="1"/>
  <c r="S34" i="1" s="1"/>
  <c r="H120" i="1"/>
  <c r="I119" i="1"/>
  <c r="AA35" i="1" l="1"/>
  <c r="H121" i="1"/>
  <c r="I120" i="1"/>
  <c r="R34" i="1" l="1"/>
  <c r="N35" i="1" s="1"/>
  <c r="Z35" i="1" s="1"/>
  <c r="V36" i="1" s="1"/>
  <c r="H122" i="1"/>
  <c r="I121" i="1"/>
  <c r="O35" i="1" l="1"/>
  <c r="P35" i="1" s="1"/>
  <c r="W36" i="1"/>
  <c r="H123" i="1"/>
  <c r="I122" i="1"/>
  <c r="Y36" i="1" l="1"/>
  <c r="X36" i="1"/>
  <c r="Q35" i="1"/>
  <c r="S35" i="1" s="1"/>
  <c r="H124" i="1"/>
  <c r="I123" i="1"/>
  <c r="AA36" i="1" l="1"/>
  <c r="H125" i="1"/>
  <c r="I124" i="1"/>
  <c r="R35" i="1" l="1"/>
  <c r="N36" i="1" s="1"/>
  <c r="Z36" i="1" s="1"/>
  <c r="V37" i="1" s="1"/>
  <c r="H126" i="1"/>
  <c r="I125" i="1"/>
  <c r="O36" i="1" l="1"/>
  <c r="P36" i="1" s="1"/>
  <c r="W37" i="1"/>
  <c r="H127" i="1"/>
  <c r="I126" i="1"/>
  <c r="Y37" i="1" l="1"/>
  <c r="X37" i="1"/>
  <c r="Q36" i="1"/>
  <c r="S36" i="1" s="1"/>
  <c r="H128" i="1"/>
  <c r="I127" i="1"/>
  <c r="AA37" i="1" l="1"/>
  <c r="H129" i="1"/>
  <c r="I128" i="1"/>
  <c r="R36" i="1" l="1"/>
  <c r="N37" i="1" s="1"/>
  <c r="Z37" i="1" s="1"/>
  <c r="V38" i="1" s="1"/>
  <c r="H130" i="1"/>
  <c r="I129" i="1"/>
  <c r="O37" i="1" l="1"/>
  <c r="P37" i="1" s="1"/>
  <c r="W38" i="1"/>
  <c r="H131" i="1"/>
  <c r="I130" i="1"/>
  <c r="Y38" i="1" l="1"/>
  <c r="X38" i="1"/>
  <c r="Q37" i="1"/>
  <c r="S37" i="1" s="1"/>
  <c r="H132" i="1"/>
  <c r="I131" i="1"/>
  <c r="AA38" i="1" l="1"/>
  <c r="H133" i="1"/>
  <c r="I132" i="1"/>
  <c r="R37" i="1" l="1"/>
  <c r="N38" i="1" s="1"/>
  <c r="Z38" i="1" s="1"/>
  <c r="V39" i="1" s="1"/>
  <c r="H134" i="1"/>
  <c r="I133" i="1"/>
  <c r="O38" i="1" l="1"/>
  <c r="P38" i="1" s="1"/>
  <c r="W39" i="1"/>
  <c r="H135" i="1"/>
  <c r="I134" i="1"/>
  <c r="Y39" i="1" l="1"/>
  <c r="X39" i="1"/>
  <c r="Q38" i="1"/>
  <c r="S38" i="1" s="1"/>
  <c r="H136" i="1"/>
  <c r="I135" i="1"/>
  <c r="AA39" i="1" l="1"/>
  <c r="H137" i="1"/>
  <c r="I136" i="1"/>
  <c r="R38" i="1" l="1"/>
  <c r="N39" i="1" s="1"/>
  <c r="Z39" i="1" s="1"/>
  <c r="V40" i="1" s="1"/>
  <c r="H138" i="1"/>
  <c r="I137" i="1"/>
  <c r="O39" i="1" l="1"/>
  <c r="P39" i="1" s="1"/>
  <c r="W40" i="1"/>
  <c r="H139" i="1"/>
  <c r="I138" i="1"/>
  <c r="Y40" i="1" l="1"/>
  <c r="X40" i="1"/>
  <c r="Q39" i="1"/>
  <c r="S39" i="1" s="1"/>
  <c r="H140" i="1"/>
  <c r="I139" i="1"/>
  <c r="AA40" i="1" l="1"/>
  <c r="H141" i="1"/>
  <c r="I140" i="1"/>
  <c r="R39" i="1" l="1"/>
  <c r="N40" i="1" s="1"/>
  <c r="Z40" i="1" s="1"/>
  <c r="V41" i="1" s="1"/>
  <c r="H142" i="1"/>
  <c r="I141" i="1"/>
  <c r="O40" i="1" l="1"/>
  <c r="P40" i="1" s="1"/>
  <c r="W41" i="1"/>
  <c r="H143" i="1"/>
  <c r="I142" i="1"/>
  <c r="Y41" i="1" l="1"/>
  <c r="X41" i="1"/>
  <c r="Q40" i="1"/>
  <c r="S40" i="1" s="1"/>
  <c r="H144" i="1"/>
  <c r="I143" i="1"/>
  <c r="AA41" i="1" l="1"/>
  <c r="H145" i="1"/>
  <c r="I144" i="1"/>
  <c r="R40" i="1" l="1"/>
  <c r="N41" i="1" s="1"/>
  <c r="Z41" i="1" s="1"/>
  <c r="V42" i="1" s="1"/>
  <c r="H146" i="1"/>
  <c r="I145" i="1"/>
  <c r="O41" i="1" l="1"/>
  <c r="P41" i="1" s="1"/>
  <c r="W42" i="1"/>
  <c r="H147" i="1"/>
  <c r="I146" i="1"/>
  <c r="Y42" i="1" l="1"/>
  <c r="X42" i="1"/>
  <c r="Q41" i="1"/>
  <c r="S41" i="1" s="1"/>
  <c r="H148" i="1"/>
  <c r="I147" i="1"/>
  <c r="AA42" i="1" l="1"/>
  <c r="H149" i="1"/>
  <c r="I148" i="1"/>
  <c r="R41" i="1" l="1"/>
  <c r="N42" i="1" s="1"/>
  <c r="Z42" i="1" s="1"/>
  <c r="V43" i="1" s="1"/>
  <c r="H150" i="1"/>
  <c r="I149" i="1"/>
  <c r="O42" i="1" l="1"/>
  <c r="P42" i="1" s="1"/>
  <c r="W43" i="1"/>
  <c r="H151" i="1"/>
  <c r="I150" i="1"/>
  <c r="Y43" i="1" l="1"/>
  <c r="X43" i="1"/>
  <c r="Q42" i="1"/>
  <c r="S42" i="1" s="1"/>
  <c r="H152" i="1"/>
  <c r="I151" i="1"/>
  <c r="AA43" i="1" l="1"/>
  <c r="H153" i="1"/>
  <c r="I152" i="1"/>
  <c r="R42" i="1" l="1"/>
  <c r="N43" i="1" s="1"/>
  <c r="H154" i="1"/>
  <c r="I153" i="1"/>
  <c r="Z43" i="1" l="1"/>
  <c r="V44" i="1" s="1"/>
  <c r="W44" i="1" s="1"/>
  <c r="O43" i="1"/>
  <c r="P43" i="1" s="1"/>
  <c r="H155" i="1"/>
  <c r="I154" i="1"/>
  <c r="Y44" i="1" l="1"/>
  <c r="X44" i="1"/>
  <c r="Q43" i="1"/>
  <c r="S43" i="1" s="1"/>
  <c r="H156" i="1"/>
  <c r="I155" i="1"/>
  <c r="AA44" i="1" l="1"/>
  <c r="H157" i="1"/>
  <c r="I156" i="1"/>
  <c r="R43" i="1" l="1"/>
  <c r="N44" i="1" s="1"/>
  <c r="Z44" i="1" s="1"/>
  <c r="V45" i="1" s="1"/>
  <c r="H158" i="1"/>
  <c r="I157" i="1"/>
  <c r="O44" i="1" l="1"/>
  <c r="P44" i="1" s="1"/>
  <c r="W45" i="1"/>
  <c r="H159" i="1"/>
  <c r="I158" i="1"/>
  <c r="Y45" i="1" l="1"/>
  <c r="X45" i="1"/>
  <c r="Q44" i="1"/>
  <c r="S44" i="1" s="1"/>
  <c r="H160" i="1"/>
  <c r="I159" i="1"/>
  <c r="AA45" i="1" l="1"/>
  <c r="H161" i="1"/>
  <c r="I160" i="1"/>
  <c r="R44" i="1" l="1"/>
  <c r="N45" i="1" s="1"/>
  <c r="Z45" i="1" s="1"/>
  <c r="V46" i="1" s="1"/>
  <c r="H162" i="1"/>
  <c r="I161" i="1"/>
  <c r="O45" i="1" l="1"/>
  <c r="P45" i="1" s="1"/>
  <c r="W46" i="1"/>
  <c r="H163" i="1"/>
  <c r="I162" i="1"/>
  <c r="Y46" i="1" l="1"/>
  <c r="X46" i="1"/>
  <c r="Q45" i="1"/>
  <c r="S45" i="1" s="1"/>
  <c r="H164" i="1"/>
  <c r="I163" i="1"/>
  <c r="AA46" i="1" l="1"/>
  <c r="H165" i="1"/>
  <c r="I164" i="1"/>
  <c r="R45" i="1" l="1"/>
  <c r="N46" i="1" s="1"/>
  <c r="H166" i="1"/>
  <c r="I165" i="1"/>
  <c r="Z46" i="1" l="1"/>
  <c r="V47" i="1" s="1"/>
  <c r="W47" i="1" s="1"/>
  <c r="O46" i="1"/>
  <c r="P46" i="1" s="1"/>
  <c r="H167" i="1"/>
  <c r="I166" i="1"/>
  <c r="Y47" i="1" l="1"/>
  <c r="X47" i="1"/>
  <c r="Q46" i="1"/>
  <c r="S46" i="1" s="1"/>
  <c r="H168" i="1"/>
  <c r="I167" i="1"/>
  <c r="AA47" i="1" l="1"/>
  <c r="H169" i="1"/>
  <c r="I168" i="1"/>
  <c r="R46" i="1" l="1"/>
  <c r="N47" i="1" s="1"/>
  <c r="Z47" i="1" s="1"/>
  <c r="V48" i="1" s="1"/>
  <c r="H170" i="1"/>
  <c r="I169" i="1"/>
  <c r="O47" i="1" l="1"/>
  <c r="P47" i="1" s="1"/>
  <c r="W48" i="1"/>
  <c r="H171" i="1"/>
  <c r="I170" i="1"/>
  <c r="Y48" i="1" l="1"/>
  <c r="X48" i="1"/>
  <c r="Q47" i="1"/>
  <c r="S47" i="1" s="1"/>
  <c r="H172" i="1"/>
  <c r="I171" i="1"/>
  <c r="AA48" i="1" l="1"/>
  <c r="H173" i="1"/>
  <c r="I172" i="1"/>
  <c r="R47" i="1" l="1"/>
  <c r="N48" i="1" s="1"/>
  <c r="H174" i="1"/>
  <c r="I173" i="1"/>
  <c r="Z48" i="1" l="1"/>
  <c r="V49" i="1" s="1"/>
  <c r="W49" i="1" s="1"/>
  <c r="O48" i="1"/>
  <c r="P48" i="1" s="1"/>
  <c r="H175" i="1"/>
  <c r="I174" i="1"/>
  <c r="Y49" i="1" l="1"/>
  <c r="X49" i="1"/>
  <c r="Q48" i="1"/>
  <c r="S48" i="1" s="1"/>
  <c r="H176" i="1"/>
  <c r="I175" i="1"/>
  <c r="AA49" i="1" l="1"/>
  <c r="H177" i="1"/>
  <c r="I176" i="1"/>
  <c r="R48" i="1" l="1"/>
  <c r="N49" i="1" s="1"/>
  <c r="H178" i="1"/>
  <c r="I177" i="1"/>
  <c r="Z49" i="1" l="1"/>
  <c r="V50" i="1" s="1"/>
  <c r="W50" i="1" s="1"/>
  <c r="O49" i="1"/>
  <c r="P49" i="1" s="1"/>
  <c r="H179" i="1"/>
  <c r="I178" i="1"/>
  <c r="Y50" i="1" l="1"/>
  <c r="X50" i="1"/>
  <c r="Q49" i="1"/>
  <c r="S49" i="1" s="1"/>
  <c r="H180" i="1"/>
  <c r="I179" i="1"/>
  <c r="AA50" i="1" l="1"/>
  <c r="H181" i="1"/>
  <c r="I180" i="1"/>
  <c r="R49" i="1" l="1"/>
  <c r="N50" i="1" s="1"/>
  <c r="Z50" i="1" s="1"/>
  <c r="V51" i="1" s="1"/>
  <c r="H182" i="1"/>
  <c r="I181" i="1"/>
  <c r="O50" i="1" l="1"/>
  <c r="P50" i="1" s="1"/>
  <c r="W51" i="1"/>
  <c r="H183" i="1"/>
  <c r="I182" i="1"/>
  <c r="Y51" i="1" l="1"/>
  <c r="X51" i="1"/>
  <c r="Q50" i="1"/>
  <c r="S50" i="1" s="1"/>
  <c r="H184" i="1"/>
  <c r="I183" i="1"/>
  <c r="AA51" i="1" l="1"/>
  <c r="H185" i="1"/>
  <c r="I184" i="1"/>
  <c r="R50" i="1" l="1"/>
  <c r="N51" i="1" s="1"/>
  <c r="Z51" i="1" s="1"/>
  <c r="V52" i="1" s="1"/>
  <c r="H186" i="1"/>
  <c r="I185" i="1"/>
  <c r="O51" i="1" l="1"/>
  <c r="P51" i="1" s="1"/>
  <c r="W52" i="1"/>
  <c r="H187" i="1"/>
  <c r="I186" i="1"/>
  <c r="Y52" i="1" l="1"/>
  <c r="X52" i="1"/>
  <c r="Q51" i="1"/>
  <c r="S51" i="1" s="1"/>
  <c r="H188" i="1"/>
  <c r="I187" i="1"/>
  <c r="AA52" i="1" l="1"/>
  <c r="H189" i="1"/>
  <c r="I188" i="1"/>
  <c r="R51" i="1" l="1"/>
  <c r="N52" i="1" s="1"/>
  <c r="Z52" i="1" s="1"/>
  <c r="V53" i="1" s="1"/>
  <c r="H190" i="1"/>
  <c r="I189" i="1"/>
  <c r="O52" i="1" l="1"/>
  <c r="P52" i="1" s="1"/>
  <c r="W53" i="1"/>
  <c r="H191" i="1"/>
  <c r="I190" i="1"/>
  <c r="Y53" i="1" l="1"/>
  <c r="X53" i="1"/>
  <c r="Q52" i="1"/>
  <c r="S52" i="1" s="1"/>
  <c r="H192" i="1"/>
  <c r="I191" i="1"/>
  <c r="AA53" i="1" l="1"/>
  <c r="H193" i="1"/>
  <c r="I192" i="1"/>
  <c r="R52" i="1" l="1"/>
  <c r="N53" i="1" s="1"/>
  <c r="Z53" i="1" s="1"/>
  <c r="V54" i="1" s="1"/>
  <c r="H194" i="1"/>
  <c r="I193" i="1"/>
  <c r="O53" i="1" l="1"/>
  <c r="P53" i="1" s="1"/>
  <c r="W54" i="1"/>
  <c r="H195" i="1"/>
  <c r="I194" i="1"/>
  <c r="Y54" i="1" l="1"/>
  <c r="X54" i="1"/>
  <c r="Q53" i="1"/>
  <c r="S53" i="1" s="1"/>
  <c r="H196" i="1"/>
  <c r="I195" i="1"/>
  <c r="AA54" i="1" l="1"/>
  <c r="R53" i="1"/>
  <c r="N54" i="1" s="1"/>
  <c r="Z54" i="1" s="1"/>
  <c r="V55" i="1" s="1"/>
  <c r="H197" i="1"/>
  <c r="I196" i="1"/>
  <c r="O54" i="1" l="1"/>
  <c r="P54" i="1" s="1"/>
  <c r="W55" i="1"/>
  <c r="H198" i="1"/>
  <c r="I197" i="1"/>
  <c r="Y55" i="1" l="1"/>
  <c r="X55" i="1"/>
  <c r="Q54" i="1"/>
  <c r="S54" i="1" s="1"/>
  <c r="H199" i="1"/>
  <c r="I198" i="1"/>
  <c r="AA55" i="1" l="1"/>
  <c r="H200" i="1"/>
  <c r="I199" i="1"/>
  <c r="R54" i="1" l="1"/>
  <c r="N55" i="1" s="1"/>
  <c r="Z55" i="1" s="1"/>
  <c r="V56" i="1" s="1"/>
  <c r="H201" i="1"/>
  <c r="I200" i="1"/>
  <c r="O55" i="1" l="1"/>
  <c r="P55" i="1" s="1"/>
  <c r="W56" i="1"/>
  <c r="H202" i="1"/>
  <c r="I201" i="1"/>
  <c r="Y56" i="1" l="1"/>
  <c r="X56" i="1"/>
  <c r="Q55" i="1"/>
  <c r="S55" i="1" s="1"/>
  <c r="H203" i="1"/>
  <c r="I202" i="1"/>
  <c r="AA56" i="1" l="1"/>
  <c r="H204" i="1"/>
  <c r="I203" i="1"/>
  <c r="R55" i="1" l="1"/>
  <c r="N56" i="1" s="1"/>
  <c r="Z56" i="1" s="1"/>
  <c r="V57" i="1" s="1"/>
  <c r="H205" i="1"/>
  <c r="I204" i="1"/>
  <c r="O56" i="1" l="1"/>
  <c r="P56" i="1" s="1"/>
  <c r="W57" i="1"/>
  <c r="H206" i="1"/>
  <c r="I205" i="1"/>
  <c r="Y57" i="1" l="1"/>
  <c r="X57" i="1"/>
  <c r="Q56" i="1"/>
  <c r="S56" i="1" s="1"/>
  <c r="H207" i="1"/>
  <c r="I206" i="1"/>
  <c r="AA57" i="1" l="1"/>
  <c r="H208" i="1"/>
  <c r="I207" i="1"/>
  <c r="R56" i="1" l="1"/>
  <c r="N57" i="1" s="1"/>
  <c r="Z57" i="1" s="1"/>
  <c r="V58" i="1" s="1"/>
  <c r="H209" i="1"/>
  <c r="I208" i="1"/>
  <c r="O57" i="1" l="1"/>
  <c r="P57" i="1" s="1"/>
  <c r="W58" i="1"/>
  <c r="H210" i="1"/>
  <c r="I209" i="1"/>
  <c r="Y58" i="1" l="1"/>
  <c r="X58" i="1"/>
  <c r="Q57" i="1"/>
  <c r="S57" i="1" s="1"/>
  <c r="H211" i="1"/>
  <c r="I210" i="1"/>
  <c r="AA58" i="1" l="1"/>
  <c r="R57" i="1"/>
  <c r="N58" i="1" s="1"/>
  <c r="Z58" i="1" s="1"/>
  <c r="V59" i="1" s="1"/>
  <c r="H212" i="1"/>
  <c r="I211" i="1"/>
  <c r="O58" i="1" l="1"/>
  <c r="P58" i="1" s="1"/>
  <c r="W59" i="1"/>
  <c r="H213" i="1"/>
  <c r="I212" i="1"/>
  <c r="Y59" i="1" l="1"/>
  <c r="X59" i="1"/>
  <c r="Q58" i="1"/>
  <c r="S58" i="1" s="1"/>
  <c r="H214" i="1"/>
  <c r="I213" i="1"/>
  <c r="AA59" i="1" l="1"/>
  <c r="H215" i="1"/>
  <c r="I214" i="1"/>
  <c r="R58" i="1" l="1"/>
  <c r="N59" i="1" s="1"/>
  <c r="Z59" i="1" s="1"/>
  <c r="V60" i="1" s="1"/>
  <c r="H216" i="1"/>
  <c r="I215" i="1"/>
  <c r="O59" i="1" l="1"/>
  <c r="P59" i="1" s="1"/>
  <c r="W60" i="1"/>
  <c r="H217" i="1"/>
  <c r="I216" i="1"/>
  <c r="Y60" i="1" l="1"/>
  <c r="X60" i="1"/>
  <c r="Q59" i="1"/>
  <c r="S59" i="1" s="1"/>
  <c r="H218" i="1"/>
  <c r="I217" i="1"/>
  <c r="AA60" i="1" l="1"/>
  <c r="H219" i="1"/>
  <c r="I218" i="1"/>
  <c r="R59" i="1" l="1"/>
  <c r="N60" i="1" s="1"/>
  <c r="Z60" i="1" s="1"/>
  <c r="V61" i="1" s="1"/>
  <c r="H220" i="1"/>
  <c r="I219" i="1"/>
  <c r="O60" i="1" l="1"/>
  <c r="P60" i="1" s="1"/>
  <c r="W61" i="1"/>
  <c r="H221" i="1"/>
  <c r="I220" i="1"/>
  <c r="Y61" i="1" l="1"/>
  <c r="X61" i="1"/>
  <c r="Q60" i="1"/>
  <c r="S60" i="1" s="1"/>
  <c r="H222" i="1"/>
  <c r="I221" i="1"/>
  <c r="AA61" i="1" l="1"/>
  <c r="H223" i="1"/>
  <c r="I222" i="1"/>
  <c r="R60" i="1" l="1"/>
  <c r="N61" i="1" s="1"/>
  <c r="Z61" i="1" s="1"/>
  <c r="V62" i="1" s="1"/>
  <c r="H224" i="1"/>
  <c r="I223" i="1"/>
  <c r="O61" i="1" l="1"/>
  <c r="P61" i="1" s="1"/>
  <c r="W62" i="1"/>
  <c r="H225" i="1"/>
  <c r="I224" i="1"/>
  <c r="Y62" i="1" l="1"/>
  <c r="X62" i="1"/>
  <c r="Q61" i="1"/>
  <c r="S61" i="1" s="1"/>
  <c r="H226" i="1"/>
  <c r="I225" i="1"/>
  <c r="AA62" i="1" l="1"/>
  <c r="H227" i="1"/>
  <c r="I226" i="1"/>
  <c r="R61" i="1" l="1"/>
  <c r="N62" i="1" s="1"/>
  <c r="Z62" i="1" s="1"/>
  <c r="V63" i="1" s="1"/>
  <c r="H228" i="1"/>
  <c r="I227" i="1"/>
  <c r="O62" i="1" l="1"/>
  <c r="P62" i="1" s="1"/>
  <c r="W63" i="1"/>
  <c r="H229" i="1"/>
  <c r="I228" i="1"/>
  <c r="Y63" i="1" l="1"/>
  <c r="X63" i="1"/>
  <c r="Q62" i="1"/>
  <c r="S62" i="1" s="1"/>
  <c r="H230" i="1"/>
  <c r="I229" i="1"/>
  <c r="AA63" i="1" l="1"/>
  <c r="H231" i="1"/>
  <c r="I230" i="1"/>
  <c r="R62" i="1" l="1"/>
  <c r="N63" i="1" s="1"/>
  <c r="Z63" i="1" s="1"/>
  <c r="V64" i="1" s="1"/>
  <c r="H232" i="1"/>
  <c r="I231" i="1"/>
  <c r="O63" i="1" l="1"/>
  <c r="P63" i="1" s="1"/>
  <c r="W64" i="1"/>
  <c r="H233" i="1"/>
  <c r="I232" i="1"/>
  <c r="Y64" i="1" l="1"/>
  <c r="X64" i="1"/>
  <c r="Q63" i="1"/>
  <c r="S63" i="1" s="1"/>
  <c r="H234" i="1"/>
  <c r="I233" i="1"/>
  <c r="AA64" i="1" l="1"/>
  <c r="H235" i="1"/>
  <c r="I234" i="1"/>
  <c r="R63" i="1" l="1"/>
  <c r="N64" i="1" s="1"/>
  <c r="Z64" i="1" s="1"/>
  <c r="V65" i="1" s="1"/>
  <c r="H236" i="1"/>
  <c r="I235" i="1"/>
  <c r="O64" i="1" l="1"/>
  <c r="P64" i="1" s="1"/>
  <c r="W65" i="1"/>
  <c r="H237" i="1"/>
  <c r="I236" i="1"/>
  <c r="Y65" i="1" l="1"/>
  <c r="X65" i="1"/>
  <c r="Q64" i="1"/>
  <c r="S64" i="1" s="1"/>
  <c r="H238" i="1"/>
  <c r="I237" i="1"/>
  <c r="AA65" i="1" l="1"/>
  <c r="H239" i="1"/>
  <c r="I238" i="1"/>
  <c r="R64" i="1" l="1"/>
  <c r="N65" i="1" s="1"/>
  <c r="Z65" i="1" s="1"/>
  <c r="V66" i="1" s="1"/>
  <c r="H240" i="1"/>
  <c r="I239" i="1"/>
  <c r="O65" i="1" l="1"/>
  <c r="P65" i="1" s="1"/>
  <c r="W66" i="1"/>
  <c r="H241" i="1"/>
  <c r="I240" i="1"/>
  <c r="Y66" i="1" l="1"/>
  <c r="X66" i="1"/>
  <c r="Q65" i="1"/>
  <c r="S65" i="1" s="1"/>
  <c r="H242" i="1"/>
  <c r="I241" i="1"/>
  <c r="AA66" i="1" l="1"/>
  <c r="H243" i="1"/>
  <c r="I242" i="1"/>
  <c r="R65" i="1" l="1"/>
  <c r="N66" i="1" s="1"/>
  <c r="Z66" i="1" s="1"/>
  <c r="V67" i="1" s="1"/>
  <c r="H244" i="1"/>
  <c r="I243" i="1"/>
  <c r="O66" i="1" l="1"/>
  <c r="P66" i="1" s="1"/>
  <c r="W67" i="1"/>
  <c r="H245" i="1"/>
  <c r="I244" i="1"/>
  <c r="Y67" i="1" l="1"/>
  <c r="X67" i="1"/>
  <c r="Q66" i="1"/>
  <c r="S66" i="1" s="1"/>
  <c r="H246" i="1"/>
  <c r="I245" i="1"/>
  <c r="AA67" i="1" l="1"/>
  <c r="H247" i="1"/>
  <c r="I246" i="1"/>
  <c r="R66" i="1" l="1"/>
  <c r="N67" i="1" s="1"/>
  <c r="Z67" i="1" s="1"/>
  <c r="V68" i="1" s="1"/>
  <c r="H248" i="1"/>
  <c r="I247" i="1"/>
  <c r="O67" i="1" l="1"/>
  <c r="P67" i="1" s="1"/>
  <c r="W68" i="1"/>
  <c r="H249" i="1"/>
  <c r="I248" i="1"/>
  <c r="Y68" i="1" l="1"/>
  <c r="X68" i="1"/>
  <c r="Q67" i="1"/>
  <c r="S67" i="1" s="1"/>
  <c r="H250" i="1"/>
  <c r="I249" i="1"/>
  <c r="AA68" i="1" l="1"/>
  <c r="H251" i="1"/>
  <c r="I250" i="1"/>
  <c r="R67" i="1" l="1"/>
  <c r="N68" i="1" s="1"/>
  <c r="Z68" i="1" s="1"/>
  <c r="V69" i="1" s="1"/>
  <c r="H252" i="1"/>
  <c r="I251" i="1"/>
  <c r="O68" i="1" l="1"/>
  <c r="P68" i="1" s="1"/>
  <c r="W69" i="1"/>
  <c r="H253" i="1"/>
  <c r="I252" i="1"/>
  <c r="Y69" i="1" l="1"/>
  <c r="X69" i="1"/>
  <c r="Q68" i="1"/>
  <c r="S68" i="1" s="1"/>
  <c r="H254" i="1"/>
  <c r="I253" i="1"/>
  <c r="AA69" i="1" l="1"/>
  <c r="H255" i="1"/>
  <c r="I254" i="1"/>
  <c r="R68" i="1" l="1"/>
  <c r="N69" i="1" s="1"/>
  <c r="Z69" i="1" s="1"/>
  <c r="V70" i="1" s="1"/>
  <c r="H256" i="1"/>
  <c r="I255" i="1"/>
  <c r="O69" i="1" l="1"/>
  <c r="P69" i="1" s="1"/>
  <c r="W70" i="1"/>
  <c r="H257" i="1"/>
  <c r="I256" i="1"/>
  <c r="Y70" i="1" l="1"/>
  <c r="X70" i="1"/>
  <c r="Q69" i="1"/>
  <c r="S69" i="1" s="1"/>
  <c r="H258" i="1"/>
  <c r="I257" i="1"/>
  <c r="AA70" i="1" l="1"/>
  <c r="H259" i="1"/>
  <c r="I258" i="1"/>
  <c r="R69" i="1" l="1"/>
  <c r="N70" i="1" s="1"/>
  <c r="H260" i="1"/>
  <c r="I259" i="1"/>
  <c r="Z70" i="1" l="1"/>
  <c r="V71" i="1" s="1"/>
  <c r="W71" i="1" s="1"/>
  <c r="O70" i="1"/>
  <c r="P70" i="1" s="1"/>
  <c r="H261" i="1"/>
  <c r="I260" i="1"/>
  <c r="Y71" i="1" l="1"/>
  <c r="X71" i="1"/>
  <c r="Q70" i="1"/>
  <c r="S70" i="1" s="1"/>
  <c r="H262" i="1"/>
  <c r="I261" i="1"/>
  <c r="AA71" i="1" l="1"/>
  <c r="H263" i="1"/>
  <c r="I262" i="1"/>
  <c r="R70" i="1" l="1"/>
  <c r="N71" i="1" s="1"/>
  <c r="H264" i="1"/>
  <c r="I263" i="1"/>
  <c r="Z71" i="1" l="1"/>
  <c r="V72" i="1" s="1"/>
  <c r="W72" i="1" s="1"/>
  <c r="O71" i="1"/>
  <c r="P71" i="1" s="1"/>
  <c r="H265" i="1"/>
  <c r="I264" i="1"/>
  <c r="Y72" i="1" l="1"/>
  <c r="X72" i="1"/>
  <c r="Q71" i="1"/>
  <c r="S71" i="1" s="1"/>
  <c r="H266" i="1"/>
  <c r="I265" i="1"/>
  <c r="AA72" i="1" l="1"/>
  <c r="H267" i="1"/>
  <c r="I266" i="1"/>
  <c r="R71" i="1" l="1"/>
  <c r="N72" i="1" s="1"/>
  <c r="H268" i="1"/>
  <c r="I267" i="1"/>
  <c r="Z72" i="1" l="1"/>
  <c r="V73" i="1" s="1"/>
  <c r="W73" i="1" s="1"/>
  <c r="O72" i="1"/>
  <c r="P72" i="1" s="1"/>
  <c r="H269" i="1"/>
  <c r="I268" i="1"/>
  <c r="Y73" i="1" l="1"/>
  <c r="X73" i="1"/>
  <c r="Q72" i="1"/>
  <c r="S72" i="1" s="1"/>
  <c r="H270" i="1"/>
  <c r="I269" i="1"/>
  <c r="AA73" i="1" l="1"/>
  <c r="H271" i="1"/>
  <c r="I270" i="1"/>
  <c r="R72" i="1" l="1"/>
  <c r="N73" i="1" s="1"/>
  <c r="H272" i="1"/>
  <c r="I271" i="1"/>
  <c r="Z73" i="1" l="1"/>
  <c r="V74" i="1" s="1"/>
  <c r="W74" i="1" s="1"/>
  <c r="O73" i="1"/>
  <c r="P73" i="1" s="1"/>
  <c r="H273" i="1"/>
  <c r="I272" i="1"/>
  <c r="Y74" i="1" l="1"/>
  <c r="X74" i="1"/>
  <c r="Q73" i="1"/>
  <c r="H274" i="1"/>
  <c r="I273" i="1"/>
  <c r="S73" i="1" l="1"/>
  <c r="AA74" i="1"/>
  <c r="H275" i="1"/>
  <c r="I274" i="1"/>
  <c r="R73" i="1" l="1"/>
  <c r="N74" i="1" s="1"/>
  <c r="Z74" i="1" s="1"/>
  <c r="V75" i="1" s="1"/>
  <c r="H276" i="1"/>
  <c r="I275" i="1"/>
  <c r="O74" i="1" l="1"/>
  <c r="P74" i="1" s="1"/>
  <c r="W75" i="1"/>
  <c r="H277" i="1"/>
  <c r="I276" i="1"/>
  <c r="Y75" i="1" l="1"/>
  <c r="X75" i="1"/>
  <c r="Q74" i="1"/>
  <c r="S74" i="1" s="1"/>
  <c r="H278" i="1"/>
  <c r="I277" i="1"/>
  <c r="AA75" i="1" l="1"/>
  <c r="H279" i="1"/>
  <c r="I278" i="1"/>
  <c r="R74" i="1" l="1"/>
  <c r="N75" i="1" s="1"/>
  <c r="H280" i="1"/>
  <c r="I279" i="1"/>
  <c r="Z75" i="1" l="1"/>
  <c r="V76" i="1" s="1"/>
  <c r="W76" i="1" s="1"/>
  <c r="O75" i="1"/>
  <c r="P75" i="1" s="1"/>
  <c r="H281" i="1"/>
  <c r="I280" i="1"/>
  <c r="Y76" i="1" l="1"/>
  <c r="X76" i="1"/>
  <c r="Q75" i="1"/>
  <c r="S75" i="1" s="1"/>
  <c r="H282" i="1"/>
  <c r="I281" i="1"/>
  <c r="AA76" i="1" l="1"/>
  <c r="H283" i="1"/>
  <c r="I282" i="1"/>
  <c r="R75" i="1" l="1"/>
  <c r="N76" i="1" s="1"/>
  <c r="H284" i="1"/>
  <c r="I283" i="1"/>
  <c r="Z76" i="1" l="1"/>
  <c r="V77" i="1" s="1"/>
  <c r="W77" i="1" s="1"/>
  <c r="O76" i="1"/>
  <c r="P76" i="1" s="1"/>
  <c r="H285" i="1"/>
  <c r="I284" i="1"/>
  <c r="Y77" i="1" l="1"/>
  <c r="X77" i="1"/>
  <c r="Q76" i="1"/>
  <c r="S76" i="1" s="1"/>
  <c r="H286" i="1"/>
  <c r="I285" i="1"/>
  <c r="AA77" i="1" l="1"/>
  <c r="H287" i="1"/>
  <c r="I286" i="1"/>
  <c r="R76" i="1" l="1"/>
  <c r="N77" i="1" s="1"/>
  <c r="H288" i="1"/>
  <c r="I287" i="1"/>
  <c r="Z77" i="1" l="1"/>
  <c r="V78" i="1" s="1"/>
  <c r="W78" i="1" s="1"/>
  <c r="O77" i="1"/>
  <c r="P77" i="1" s="1"/>
  <c r="H289" i="1"/>
  <c r="I288" i="1"/>
  <c r="Y78" i="1" l="1"/>
  <c r="X78" i="1"/>
  <c r="Q77" i="1"/>
  <c r="S77" i="1" s="1"/>
  <c r="H290" i="1"/>
  <c r="I289" i="1"/>
  <c r="AA78" i="1" l="1"/>
  <c r="H291" i="1"/>
  <c r="I290" i="1"/>
  <c r="R77" i="1" l="1"/>
  <c r="N78" i="1" s="1"/>
  <c r="Z78" i="1" s="1"/>
  <c r="V79" i="1" s="1"/>
  <c r="H292" i="1"/>
  <c r="I291" i="1"/>
  <c r="O78" i="1" l="1"/>
  <c r="P78" i="1" s="1"/>
  <c r="W79" i="1"/>
  <c r="H293" i="1"/>
  <c r="I292" i="1"/>
  <c r="Y79" i="1" l="1"/>
  <c r="X79" i="1"/>
  <c r="Q78" i="1"/>
  <c r="S78" i="1" s="1"/>
  <c r="H294" i="1"/>
  <c r="I293" i="1"/>
  <c r="AA79" i="1" l="1"/>
  <c r="H295" i="1"/>
  <c r="I294" i="1"/>
  <c r="R78" i="1" l="1"/>
  <c r="N79" i="1" s="1"/>
  <c r="Z79" i="1" s="1"/>
  <c r="V80" i="1" s="1"/>
  <c r="H296" i="1"/>
  <c r="I295" i="1"/>
  <c r="O79" i="1" l="1"/>
  <c r="P79" i="1" s="1"/>
  <c r="W80" i="1"/>
  <c r="H297" i="1"/>
  <c r="I296" i="1"/>
  <c r="Y80" i="1" l="1"/>
  <c r="X80" i="1"/>
  <c r="Q79" i="1"/>
  <c r="S79" i="1" s="1"/>
  <c r="H298" i="1"/>
  <c r="I297" i="1"/>
  <c r="AA80" i="1" l="1"/>
  <c r="H299" i="1"/>
  <c r="I298" i="1"/>
  <c r="R79" i="1" l="1"/>
  <c r="N80" i="1" s="1"/>
  <c r="H300" i="1"/>
  <c r="I299" i="1"/>
  <c r="Z80" i="1" l="1"/>
  <c r="V81" i="1" s="1"/>
  <c r="W81" i="1" s="1"/>
  <c r="O80" i="1"/>
  <c r="P80" i="1" s="1"/>
  <c r="H301" i="1"/>
  <c r="I300" i="1"/>
  <c r="Y81" i="1" l="1"/>
  <c r="X81" i="1"/>
  <c r="Q80" i="1"/>
  <c r="S80" i="1" s="1"/>
  <c r="H302" i="1"/>
  <c r="I301" i="1"/>
  <c r="AA81" i="1" l="1"/>
  <c r="H303" i="1"/>
  <c r="I302" i="1"/>
  <c r="R80" i="1" l="1"/>
  <c r="N81" i="1" s="1"/>
  <c r="H304" i="1"/>
  <c r="I303" i="1"/>
  <c r="Z81" i="1" l="1"/>
  <c r="V82" i="1" s="1"/>
  <c r="W82" i="1" s="1"/>
  <c r="O81" i="1"/>
  <c r="P81" i="1" s="1"/>
  <c r="H305" i="1"/>
  <c r="I304" i="1"/>
  <c r="Y82" i="1" l="1"/>
  <c r="X82" i="1"/>
  <c r="Q81" i="1"/>
  <c r="S81" i="1" s="1"/>
  <c r="H306" i="1"/>
  <c r="I306" i="1" s="1"/>
  <c r="I305" i="1"/>
  <c r="AA82" i="1" l="1"/>
  <c r="R81" i="1" l="1"/>
  <c r="N82" i="1" s="1"/>
  <c r="Z82" i="1" s="1"/>
  <c r="V83" i="1" s="1"/>
  <c r="O82" i="1" l="1"/>
  <c r="P82" i="1" s="1"/>
  <c r="W83" i="1"/>
  <c r="Y83" i="1" l="1"/>
  <c r="X83" i="1"/>
  <c r="Q82" i="1"/>
  <c r="S82" i="1" s="1"/>
  <c r="AA83" i="1" l="1"/>
  <c r="R82" i="1" l="1"/>
  <c r="N83" i="1" s="1"/>
  <c r="Z83" i="1" s="1"/>
  <c r="V84" i="1" s="1"/>
  <c r="O83" i="1" l="1"/>
  <c r="P83" i="1" s="1"/>
  <c r="W84" i="1"/>
  <c r="Y84" i="1" l="1"/>
  <c r="X84" i="1"/>
  <c r="Q83" i="1"/>
  <c r="S83" i="1" s="1"/>
  <c r="AA84" i="1" l="1"/>
  <c r="R83" i="1" l="1"/>
  <c r="N84" i="1" s="1"/>
  <c r="Z84" i="1" l="1"/>
  <c r="V85" i="1" s="1"/>
  <c r="W85" i="1" s="1"/>
  <c r="O84" i="1"/>
  <c r="P84" i="1" s="1"/>
  <c r="Y85" i="1" l="1"/>
  <c r="X85" i="1"/>
  <c r="Q84" i="1"/>
  <c r="S84" i="1" s="1"/>
  <c r="AA85" i="1" l="1"/>
  <c r="R84" i="1" l="1"/>
  <c r="N85" i="1" s="1"/>
  <c r="Z85" i="1" s="1"/>
  <c r="V86" i="1" s="1"/>
  <c r="O85" i="1" l="1"/>
  <c r="P85" i="1" s="1"/>
  <c r="W86" i="1"/>
  <c r="Y86" i="1" l="1"/>
  <c r="X86" i="1"/>
  <c r="Q85" i="1"/>
  <c r="S85" i="1" s="1"/>
  <c r="AA86" i="1" l="1"/>
  <c r="R85" i="1" l="1"/>
  <c r="N86" i="1" s="1"/>
  <c r="Z86" i="1" s="1"/>
  <c r="V87" i="1" s="1"/>
  <c r="O86" i="1" l="1"/>
  <c r="P86" i="1" s="1"/>
  <c r="W87" i="1"/>
  <c r="Y87" i="1" l="1"/>
  <c r="X87" i="1"/>
  <c r="Q86" i="1"/>
  <c r="S86" i="1" s="1"/>
  <c r="AA87" i="1" l="1"/>
  <c r="R86" i="1" l="1"/>
  <c r="N87" i="1" s="1"/>
  <c r="Z87" i="1" s="1"/>
  <c r="V88" i="1" s="1"/>
  <c r="O87" i="1" l="1"/>
  <c r="P87" i="1" s="1"/>
  <c r="W88" i="1"/>
  <c r="Y88" i="1" l="1"/>
  <c r="X88" i="1"/>
  <c r="Q87" i="1"/>
  <c r="S87" i="1" s="1"/>
  <c r="AA88" i="1" l="1"/>
  <c r="R87" i="1" l="1"/>
  <c r="N88" i="1" s="1"/>
  <c r="Z88" i="1" s="1"/>
  <c r="V89" i="1" s="1"/>
  <c r="O88" i="1" l="1"/>
  <c r="P88" i="1" s="1"/>
  <c r="W89" i="1"/>
  <c r="Y89" i="1" l="1"/>
  <c r="X89" i="1"/>
  <c r="Q88" i="1"/>
  <c r="S88" i="1" s="1"/>
  <c r="AA89" i="1" l="1"/>
  <c r="R88" i="1" l="1"/>
  <c r="N89" i="1" s="1"/>
  <c r="Z89" i="1" s="1"/>
  <c r="V90" i="1" s="1"/>
  <c r="O89" i="1" l="1"/>
  <c r="P89" i="1" s="1"/>
  <c r="W90" i="1"/>
  <c r="Y90" i="1" l="1"/>
  <c r="X90" i="1"/>
  <c r="Q89" i="1"/>
  <c r="S89" i="1" s="1"/>
  <c r="AA90" i="1" l="1"/>
  <c r="R89" i="1" l="1"/>
  <c r="N90" i="1" s="1"/>
  <c r="Z90" i="1" s="1"/>
  <c r="V91" i="1" s="1"/>
  <c r="O90" i="1" l="1"/>
  <c r="P90" i="1" s="1"/>
  <c r="W91" i="1"/>
  <c r="Y91" i="1" l="1"/>
  <c r="X91" i="1"/>
  <c r="Q90" i="1"/>
  <c r="S90" i="1" s="1"/>
  <c r="AA91" i="1" l="1"/>
  <c r="R90" i="1" l="1"/>
  <c r="N91" i="1" s="1"/>
  <c r="Z91" i="1" s="1"/>
  <c r="V92" i="1" s="1"/>
  <c r="O91" i="1" l="1"/>
  <c r="P91" i="1" s="1"/>
  <c r="W92" i="1"/>
  <c r="Y92" i="1" l="1"/>
  <c r="X92" i="1"/>
  <c r="Q91" i="1"/>
  <c r="S91" i="1" s="1"/>
  <c r="AA92" i="1" l="1"/>
  <c r="R91" i="1" l="1"/>
  <c r="N92" i="1" s="1"/>
  <c r="Z92" i="1" s="1"/>
  <c r="V93" i="1" s="1"/>
  <c r="O92" i="1" l="1"/>
  <c r="P92" i="1" s="1"/>
  <c r="W93" i="1"/>
  <c r="Y93" i="1" l="1"/>
  <c r="X93" i="1"/>
  <c r="Q92" i="1"/>
  <c r="S92" i="1" s="1"/>
  <c r="AA93" i="1" l="1"/>
  <c r="R92" i="1" l="1"/>
  <c r="N93" i="1" s="1"/>
  <c r="Z93" i="1" s="1"/>
  <c r="V94" i="1" s="1"/>
  <c r="O93" i="1" l="1"/>
  <c r="P93" i="1" s="1"/>
  <c r="W94" i="1"/>
  <c r="Y94" i="1" l="1"/>
  <c r="X94" i="1"/>
  <c r="Q93" i="1"/>
  <c r="S93" i="1" s="1"/>
  <c r="AA94" i="1" l="1"/>
  <c r="R93" i="1" l="1"/>
  <c r="N94" i="1" s="1"/>
  <c r="Z94" i="1" s="1"/>
  <c r="V95" i="1" s="1"/>
  <c r="O94" i="1" l="1"/>
  <c r="P94" i="1" s="1"/>
  <c r="W95" i="1"/>
  <c r="Y95" i="1" l="1"/>
  <c r="X95" i="1"/>
  <c r="Q94" i="1"/>
  <c r="S94" i="1" s="1"/>
  <c r="AA95" i="1" l="1"/>
  <c r="R94" i="1" l="1"/>
  <c r="N95" i="1" s="1"/>
  <c r="Z95" i="1" s="1"/>
  <c r="V96" i="1" s="1"/>
  <c r="O95" i="1" l="1"/>
  <c r="P95" i="1" s="1"/>
  <c r="W96" i="1"/>
  <c r="Y96" i="1" l="1"/>
  <c r="X96" i="1"/>
  <c r="Q95" i="1"/>
  <c r="S95" i="1" s="1"/>
  <c r="AA96" i="1" l="1"/>
  <c r="R95" i="1" l="1"/>
  <c r="N96" i="1" s="1"/>
  <c r="Z96" i="1" s="1"/>
  <c r="V97" i="1" s="1"/>
  <c r="O96" i="1" l="1"/>
  <c r="P96" i="1" s="1"/>
  <c r="W97" i="1"/>
  <c r="Y97" i="1" l="1"/>
  <c r="X97" i="1"/>
  <c r="Q96" i="1"/>
  <c r="S96" i="1" s="1"/>
  <c r="AA97" i="1" l="1"/>
  <c r="R96" i="1" l="1"/>
  <c r="N97" i="1" s="1"/>
  <c r="Z97" i="1" s="1"/>
  <c r="V98" i="1" s="1"/>
  <c r="O97" i="1" l="1"/>
  <c r="P97" i="1" s="1"/>
  <c r="W98" i="1"/>
  <c r="Y98" i="1" l="1"/>
  <c r="X98" i="1"/>
  <c r="Q97" i="1"/>
  <c r="S97" i="1" s="1"/>
  <c r="AA98" i="1" l="1"/>
  <c r="R97" i="1" l="1"/>
  <c r="N98" i="1" s="1"/>
  <c r="Z98" i="1" s="1"/>
  <c r="V99" i="1" s="1"/>
  <c r="O98" i="1" l="1"/>
  <c r="P98" i="1" s="1"/>
  <c r="W99" i="1"/>
  <c r="Y99" i="1" l="1"/>
  <c r="X99" i="1"/>
  <c r="Q98" i="1"/>
  <c r="S98" i="1" s="1"/>
  <c r="AA99" i="1" l="1"/>
  <c r="R98" i="1" l="1"/>
  <c r="N99" i="1" s="1"/>
  <c r="Z99" i="1" s="1"/>
  <c r="V100" i="1" s="1"/>
  <c r="O99" i="1" l="1"/>
  <c r="P99" i="1" s="1"/>
  <c r="W100" i="1"/>
  <c r="Y100" i="1" l="1"/>
  <c r="X100" i="1"/>
  <c r="Q99" i="1"/>
  <c r="S99" i="1" s="1"/>
  <c r="AA100" i="1" l="1"/>
  <c r="R99" i="1"/>
  <c r="N100" i="1" s="1"/>
  <c r="Z100" i="1" s="1"/>
  <c r="V101" i="1" s="1"/>
  <c r="O100" i="1" l="1"/>
  <c r="P100" i="1" s="1"/>
  <c r="W101" i="1"/>
  <c r="Y101" i="1" l="1"/>
  <c r="X101" i="1"/>
  <c r="Q100" i="1"/>
  <c r="S100" i="1" s="1"/>
  <c r="AA101" i="1" l="1"/>
  <c r="R100" i="1" l="1"/>
  <c r="N101" i="1" s="1"/>
  <c r="Z101" i="1" s="1"/>
  <c r="V102" i="1" s="1"/>
  <c r="O101" i="1" l="1"/>
  <c r="P101" i="1" s="1"/>
  <c r="W102" i="1"/>
  <c r="Y102" i="1" l="1"/>
  <c r="X102" i="1"/>
  <c r="Q101" i="1"/>
  <c r="S101" i="1" s="1"/>
  <c r="AA102" i="1" l="1"/>
  <c r="R101" i="1" l="1"/>
  <c r="N102" i="1" s="1"/>
  <c r="Z102" i="1" s="1"/>
  <c r="V103" i="1" s="1"/>
  <c r="O102" i="1" l="1"/>
  <c r="P102" i="1" s="1"/>
  <c r="W103" i="1"/>
  <c r="Y103" i="1" l="1"/>
  <c r="X103" i="1"/>
  <c r="Q102" i="1"/>
  <c r="S102" i="1" s="1"/>
  <c r="AA103" i="1" l="1"/>
  <c r="R102" i="1" l="1"/>
  <c r="N103" i="1" s="1"/>
  <c r="Z103" i="1" s="1"/>
  <c r="V104" i="1" s="1"/>
  <c r="O103" i="1" l="1"/>
  <c r="P103" i="1" s="1"/>
  <c r="W104" i="1"/>
  <c r="Y104" i="1" l="1"/>
  <c r="X104" i="1"/>
  <c r="Q103" i="1"/>
  <c r="S103" i="1" s="1"/>
  <c r="AA104" i="1" l="1"/>
  <c r="R103" i="1" l="1"/>
  <c r="N104" i="1" s="1"/>
  <c r="Z104" i="1" s="1"/>
  <c r="V105" i="1" s="1"/>
  <c r="O104" i="1" l="1"/>
  <c r="P104" i="1" s="1"/>
  <c r="W105" i="1"/>
  <c r="Y105" i="1" l="1"/>
  <c r="X105" i="1"/>
  <c r="Q104" i="1"/>
  <c r="S104" i="1" s="1"/>
  <c r="AA105" i="1" l="1"/>
  <c r="R104" i="1" l="1"/>
  <c r="N105" i="1" s="1"/>
  <c r="Z105" i="1" s="1"/>
  <c r="V106" i="1" s="1"/>
  <c r="O105" i="1" l="1"/>
  <c r="P105" i="1" s="1"/>
  <c r="W106" i="1"/>
  <c r="Y106" i="1" l="1"/>
  <c r="X106" i="1"/>
  <c r="Q105" i="1"/>
  <c r="S105" i="1" s="1"/>
  <c r="AA106" i="1" l="1"/>
  <c r="R105" i="1" l="1"/>
  <c r="N106" i="1" s="1"/>
  <c r="Z106" i="1" s="1"/>
  <c r="V107" i="1" s="1"/>
  <c r="O106" i="1" l="1"/>
  <c r="P106" i="1" s="1"/>
  <c r="W107" i="1"/>
  <c r="Y107" i="1" l="1"/>
  <c r="X107" i="1"/>
  <c r="Q106" i="1"/>
  <c r="S106" i="1" s="1"/>
  <c r="AA107" i="1" l="1"/>
  <c r="R106" i="1" l="1"/>
  <c r="N107" i="1" s="1"/>
  <c r="Z107" i="1" s="1"/>
  <c r="V108" i="1" s="1"/>
  <c r="O107" i="1" l="1"/>
  <c r="P107" i="1" s="1"/>
  <c r="W108" i="1"/>
  <c r="Y108" i="1" l="1"/>
  <c r="X108" i="1"/>
  <c r="Q107" i="1"/>
  <c r="S107" i="1" s="1"/>
  <c r="AA108" i="1" l="1"/>
  <c r="R107" i="1" l="1"/>
  <c r="N108" i="1" s="1"/>
  <c r="Z108" i="1" s="1"/>
  <c r="V109" i="1" s="1"/>
  <c r="O108" i="1" l="1"/>
  <c r="P108" i="1" s="1"/>
  <c r="W109" i="1"/>
  <c r="Y109" i="1" l="1"/>
  <c r="X109" i="1"/>
  <c r="Q108" i="1"/>
  <c r="S108" i="1" s="1"/>
  <c r="AA109" i="1" l="1"/>
  <c r="R108" i="1" l="1"/>
  <c r="N109" i="1" s="1"/>
  <c r="Z109" i="1" s="1"/>
  <c r="V110" i="1" s="1"/>
  <c r="O109" i="1" l="1"/>
  <c r="P109" i="1" s="1"/>
  <c r="W110" i="1"/>
  <c r="Y110" i="1" l="1"/>
  <c r="X110" i="1"/>
  <c r="Q109" i="1"/>
  <c r="S109" i="1" s="1"/>
  <c r="AA110" i="1" l="1"/>
  <c r="R109" i="1" l="1"/>
  <c r="N110" i="1" s="1"/>
  <c r="Z110" i="1" s="1"/>
  <c r="V111" i="1" s="1"/>
  <c r="O110" i="1" l="1"/>
  <c r="P110" i="1" s="1"/>
  <c r="W111" i="1"/>
  <c r="Y111" i="1" l="1"/>
  <c r="X111" i="1"/>
  <c r="Q110" i="1"/>
  <c r="S110" i="1" s="1"/>
  <c r="AA111" i="1" l="1"/>
  <c r="R110" i="1" l="1"/>
  <c r="N111" i="1" s="1"/>
  <c r="Z111" i="1" s="1"/>
  <c r="V112" i="1" s="1"/>
  <c r="O111" i="1" l="1"/>
  <c r="P111" i="1" s="1"/>
  <c r="W112" i="1"/>
  <c r="Y112" i="1" l="1"/>
  <c r="X112" i="1"/>
  <c r="Q111" i="1"/>
  <c r="S111" i="1" s="1"/>
  <c r="AA112" i="1" l="1"/>
  <c r="R111" i="1" l="1"/>
  <c r="N112" i="1" s="1"/>
  <c r="Z112" i="1" s="1"/>
  <c r="V113" i="1" s="1"/>
  <c r="O112" i="1" l="1"/>
  <c r="P112" i="1" s="1"/>
  <c r="W113" i="1"/>
  <c r="Y113" i="1" l="1"/>
  <c r="X113" i="1"/>
  <c r="Q112" i="1"/>
  <c r="S112" i="1" s="1"/>
  <c r="AA113" i="1" l="1"/>
  <c r="R112" i="1" l="1"/>
  <c r="N113" i="1" s="1"/>
  <c r="Z113" i="1" s="1"/>
  <c r="V114" i="1" s="1"/>
  <c r="O113" i="1" l="1"/>
  <c r="P113" i="1" s="1"/>
  <c r="W114" i="1"/>
  <c r="Y114" i="1" l="1"/>
  <c r="X114" i="1"/>
  <c r="Q113" i="1"/>
  <c r="S113" i="1" s="1"/>
  <c r="AA114" i="1" l="1"/>
  <c r="R113" i="1" l="1"/>
  <c r="N114" i="1" s="1"/>
  <c r="Z114" i="1" s="1"/>
  <c r="V115" i="1" s="1"/>
  <c r="O114" i="1" l="1"/>
  <c r="P114" i="1" s="1"/>
  <c r="W115" i="1"/>
  <c r="Y115" i="1" l="1"/>
  <c r="X115" i="1"/>
  <c r="Q114" i="1"/>
  <c r="S114" i="1" s="1"/>
  <c r="AA115" i="1" l="1"/>
  <c r="R114" i="1" l="1"/>
  <c r="N115" i="1" s="1"/>
  <c r="Z115" i="1" s="1"/>
  <c r="V116" i="1" s="1"/>
  <c r="O115" i="1" l="1"/>
  <c r="P115" i="1" s="1"/>
  <c r="W116" i="1"/>
  <c r="Y116" i="1" l="1"/>
  <c r="X116" i="1"/>
  <c r="Q115" i="1"/>
  <c r="S115" i="1" s="1"/>
  <c r="AA116" i="1" l="1"/>
  <c r="R115" i="1" l="1"/>
  <c r="N116" i="1" s="1"/>
  <c r="Z116" i="1" s="1"/>
  <c r="V117" i="1" s="1"/>
  <c r="O116" i="1" l="1"/>
  <c r="P116" i="1" s="1"/>
  <c r="W117" i="1"/>
  <c r="Y117" i="1" l="1"/>
  <c r="X117" i="1"/>
  <c r="Q116" i="1"/>
  <c r="S116" i="1" s="1"/>
  <c r="AA117" i="1" l="1"/>
  <c r="R116" i="1" l="1"/>
  <c r="N117" i="1" s="1"/>
  <c r="Z117" i="1" s="1"/>
  <c r="V118" i="1" s="1"/>
  <c r="O117" i="1" l="1"/>
  <c r="P117" i="1" s="1"/>
  <c r="W118" i="1"/>
  <c r="Y118" i="1" l="1"/>
  <c r="X118" i="1"/>
  <c r="Q117" i="1"/>
  <c r="S117" i="1" s="1"/>
  <c r="AA118" i="1" l="1"/>
  <c r="R117" i="1" l="1"/>
  <c r="N118" i="1" s="1"/>
  <c r="Z118" i="1" s="1"/>
  <c r="V119" i="1" s="1"/>
  <c r="O118" i="1" l="1"/>
  <c r="P118" i="1" s="1"/>
  <c r="W119" i="1"/>
  <c r="Y119" i="1" l="1"/>
  <c r="X119" i="1"/>
  <c r="Q118" i="1"/>
  <c r="S118" i="1" s="1"/>
  <c r="AA119" i="1" l="1"/>
  <c r="R118" i="1" l="1"/>
  <c r="N119" i="1" s="1"/>
  <c r="Z119" i="1" s="1"/>
  <c r="V120" i="1" s="1"/>
  <c r="O119" i="1" l="1"/>
  <c r="P119" i="1" s="1"/>
  <c r="W120" i="1"/>
  <c r="Y120" i="1" l="1"/>
  <c r="X120" i="1"/>
  <c r="Q119" i="1"/>
  <c r="S119" i="1" s="1"/>
  <c r="AA120" i="1" l="1"/>
  <c r="R119" i="1" l="1"/>
  <c r="N120" i="1" s="1"/>
  <c r="Z120" i="1" s="1"/>
  <c r="V121" i="1" s="1"/>
  <c r="O120" i="1" l="1"/>
  <c r="P120" i="1" s="1"/>
  <c r="W121" i="1"/>
  <c r="Y121" i="1" l="1"/>
  <c r="X121" i="1"/>
  <c r="Q120" i="1"/>
  <c r="S120" i="1" s="1"/>
  <c r="AA121" i="1" l="1"/>
  <c r="R120" i="1" l="1"/>
  <c r="N121" i="1" s="1"/>
  <c r="Z121" i="1" s="1"/>
  <c r="V122" i="1" s="1"/>
  <c r="O121" i="1" l="1"/>
  <c r="P121" i="1" s="1"/>
  <c r="W122" i="1"/>
  <c r="Y122" i="1" l="1"/>
  <c r="X122" i="1"/>
  <c r="Q121" i="1"/>
  <c r="S121" i="1" s="1"/>
  <c r="AA122" i="1" l="1"/>
  <c r="R121" i="1" l="1"/>
  <c r="N122" i="1" s="1"/>
  <c r="Z122" i="1" s="1"/>
  <c r="V123" i="1" s="1"/>
  <c r="O122" i="1" l="1"/>
  <c r="P122" i="1" s="1"/>
  <c r="W123" i="1"/>
  <c r="Y123" i="1" l="1"/>
  <c r="X123" i="1"/>
  <c r="Q122" i="1"/>
  <c r="S122" i="1" s="1"/>
  <c r="AA123" i="1" l="1"/>
  <c r="R122" i="1" l="1"/>
  <c r="N123" i="1" s="1"/>
  <c r="Z123" i="1" s="1"/>
  <c r="V124" i="1" s="1"/>
  <c r="O123" i="1" l="1"/>
  <c r="P123" i="1" s="1"/>
  <c r="W124" i="1"/>
  <c r="Y124" i="1" l="1"/>
  <c r="X124" i="1"/>
  <c r="Q123" i="1"/>
  <c r="S123" i="1" s="1"/>
  <c r="AA124" i="1" l="1"/>
  <c r="R123" i="1" l="1"/>
  <c r="N124" i="1" s="1"/>
  <c r="Z124" i="1" s="1"/>
  <c r="V125" i="1" s="1"/>
  <c r="O124" i="1" l="1"/>
  <c r="P124" i="1" s="1"/>
  <c r="W125" i="1"/>
  <c r="Y125" i="1" l="1"/>
  <c r="X125" i="1"/>
  <c r="Q124" i="1"/>
  <c r="S124" i="1" s="1"/>
  <c r="AA125" i="1" l="1"/>
  <c r="R124" i="1" l="1"/>
  <c r="N125" i="1" s="1"/>
  <c r="Z125" i="1" s="1"/>
  <c r="V126" i="1" s="1"/>
  <c r="O125" i="1" l="1"/>
  <c r="P125" i="1" s="1"/>
  <c r="W126" i="1"/>
  <c r="Y126" i="1" l="1"/>
  <c r="X126" i="1"/>
  <c r="Q125" i="1"/>
  <c r="S125" i="1" s="1"/>
  <c r="AA126" i="1" l="1"/>
  <c r="R125" i="1" l="1"/>
  <c r="N126" i="1" s="1"/>
  <c r="Z126" i="1" s="1"/>
  <c r="V127" i="1" s="1"/>
  <c r="O126" i="1" l="1"/>
  <c r="P126" i="1" s="1"/>
  <c r="W127" i="1"/>
  <c r="Y127" i="1" l="1"/>
  <c r="X127" i="1"/>
  <c r="Q126" i="1"/>
  <c r="S126" i="1" s="1"/>
  <c r="AA127" i="1" l="1"/>
  <c r="R126" i="1" l="1"/>
  <c r="N127" i="1" s="1"/>
  <c r="Z127" i="1" s="1"/>
  <c r="V128" i="1" s="1"/>
  <c r="O127" i="1" l="1"/>
  <c r="P127" i="1" s="1"/>
  <c r="W128" i="1"/>
  <c r="Y128" i="1" l="1"/>
  <c r="X128" i="1"/>
  <c r="Q127" i="1"/>
  <c r="S127" i="1" s="1"/>
  <c r="AA128" i="1" l="1"/>
  <c r="R127" i="1" l="1"/>
  <c r="N128" i="1" s="1"/>
  <c r="Z128" i="1" s="1"/>
  <c r="V129" i="1" s="1"/>
  <c r="O128" i="1" l="1"/>
  <c r="P128" i="1" s="1"/>
  <c r="W129" i="1"/>
  <c r="Y129" i="1" l="1"/>
  <c r="X129" i="1"/>
  <c r="Q128" i="1"/>
  <c r="S128" i="1" s="1"/>
  <c r="AA129" i="1" l="1"/>
  <c r="R128" i="1" l="1"/>
  <c r="N129" i="1" s="1"/>
  <c r="Z129" i="1" s="1"/>
  <c r="V130" i="1" s="1"/>
  <c r="O129" i="1" l="1"/>
  <c r="P129" i="1" s="1"/>
  <c r="W130" i="1"/>
  <c r="Y130" i="1" l="1"/>
  <c r="X130" i="1"/>
  <c r="Q129" i="1"/>
  <c r="S129" i="1" s="1"/>
  <c r="AA130" i="1" l="1"/>
  <c r="R129" i="1" l="1"/>
  <c r="N130" i="1" s="1"/>
  <c r="Z130" i="1" s="1"/>
  <c r="V131" i="1" s="1"/>
  <c r="O130" i="1" l="1"/>
  <c r="P130" i="1" s="1"/>
  <c r="W131" i="1"/>
  <c r="Y131" i="1" l="1"/>
  <c r="X131" i="1"/>
  <c r="Q130" i="1"/>
  <c r="S130" i="1" s="1"/>
  <c r="AA131" i="1" l="1"/>
  <c r="R130" i="1" l="1"/>
  <c r="N131" i="1" s="1"/>
  <c r="Z131" i="1" s="1"/>
  <c r="V132" i="1" s="1"/>
  <c r="O131" i="1" l="1"/>
  <c r="P131" i="1" s="1"/>
  <c r="W132" i="1"/>
  <c r="Y132" i="1" l="1"/>
  <c r="X132" i="1"/>
  <c r="Q131" i="1"/>
  <c r="S131" i="1" s="1"/>
  <c r="AA132" i="1" l="1"/>
  <c r="R131" i="1" l="1"/>
  <c r="N132" i="1" s="1"/>
  <c r="Z132" i="1" s="1"/>
  <c r="V133" i="1" s="1"/>
  <c r="O132" i="1" l="1"/>
  <c r="P132" i="1" s="1"/>
  <c r="W133" i="1"/>
  <c r="Y133" i="1" l="1"/>
  <c r="X133" i="1"/>
  <c r="Q132" i="1"/>
  <c r="S132" i="1" s="1"/>
  <c r="AA133" i="1" l="1"/>
  <c r="R132" i="1" l="1"/>
  <c r="N133" i="1" s="1"/>
  <c r="Z133" i="1" s="1"/>
  <c r="V134" i="1" s="1"/>
  <c r="O133" i="1" l="1"/>
  <c r="P133" i="1" s="1"/>
  <c r="W134" i="1"/>
  <c r="Y134" i="1" l="1"/>
  <c r="X134" i="1"/>
  <c r="Q133" i="1"/>
  <c r="S133" i="1" s="1"/>
  <c r="AA134" i="1" l="1"/>
  <c r="R133" i="1" l="1"/>
  <c r="N134" i="1" s="1"/>
  <c r="Z134" i="1" s="1"/>
  <c r="V135" i="1" s="1"/>
  <c r="O134" i="1" l="1"/>
  <c r="P134" i="1" s="1"/>
  <c r="W135" i="1"/>
  <c r="Y135" i="1" l="1"/>
  <c r="X135" i="1"/>
  <c r="Q134" i="1"/>
  <c r="S134" i="1" s="1"/>
  <c r="AA135" i="1" l="1"/>
  <c r="R134" i="1" l="1"/>
  <c r="N135" i="1" s="1"/>
  <c r="Z135" i="1" s="1"/>
  <c r="V136" i="1" s="1"/>
  <c r="O135" i="1" l="1"/>
  <c r="P135" i="1" s="1"/>
  <c r="W136" i="1"/>
  <c r="Y136" i="1" l="1"/>
  <c r="X136" i="1"/>
  <c r="Q135" i="1"/>
  <c r="S135" i="1" s="1"/>
  <c r="AA136" i="1" l="1"/>
  <c r="R135" i="1" l="1"/>
  <c r="N136" i="1" s="1"/>
  <c r="Z136" i="1" s="1"/>
  <c r="V137" i="1" s="1"/>
  <c r="O136" i="1" l="1"/>
  <c r="P136" i="1" s="1"/>
  <c r="W137" i="1"/>
  <c r="Y137" i="1" l="1"/>
  <c r="X137" i="1"/>
  <c r="Q136" i="1"/>
  <c r="S136" i="1" s="1"/>
  <c r="AA137" i="1" l="1"/>
  <c r="R136" i="1" l="1"/>
  <c r="N137" i="1" s="1"/>
  <c r="Z137" i="1" s="1"/>
  <c r="V138" i="1" s="1"/>
  <c r="O137" i="1" l="1"/>
  <c r="P137" i="1" s="1"/>
  <c r="W138" i="1"/>
  <c r="Y138" i="1" l="1"/>
  <c r="X138" i="1"/>
  <c r="Q137" i="1"/>
  <c r="S137" i="1" s="1"/>
  <c r="AA138" i="1" l="1"/>
  <c r="R137" i="1" l="1"/>
  <c r="N138" i="1" s="1"/>
  <c r="Z138" i="1" s="1"/>
  <c r="V139" i="1" s="1"/>
  <c r="O138" i="1" l="1"/>
  <c r="P138" i="1" s="1"/>
  <c r="W139" i="1"/>
  <c r="Y139" i="1" l="1"/>
  <c r="X139" i="1"/>
  <c r="Q138" i="1"/>
  <c r="S138" i="1" s="1"/>
  <c r="AA139" i="1" l="1"/>
  <c r="R138" i="1" l="1"/>
  <c r="N139" i="1" s="1"/>
  <c r="Z139" i="1" s="1"/>
  <c r="V140" i="1" s="1"/>
  <c r="O139" i="1" l="1"/>
  <c r="P139" i="1" s="1"/>
  <c r="W140" i="1"/>
  <c r="Y140" i="1" l="1"/>
  <c r="X140" i="1"/>
  <c r="Q139" i="1"/>
  <c r="S139" i="1" s="1"/>
  <c r="AA140" i="1" l="1"/>
  <c r="R139" i="1" l="1"/>
  <c r="N140" i="1" s="1"/>
  <c r="Z140" i="1" s="1"/>
  <c r="V141" i="1" s="1"/>
  <c r="O140" i="1" l="1"/>
  <c r="P140" i="1" s="1"/>
  <c r="W141" i="1"/>
  <c r="Y141" i="1" l="1"/>
  <c r="X141" i="1"/>
  <c r="Q140" i="1"/>
  <c r="S140" i="1" s="1"/>
  <c r="AA141" i="1" l="1"/>
  <c r="R140" i="1" l="1"/>
  <c r="N141" i="1" s="1"/>
  <c r="Z141" i="1" s="1"/>
  <c r="V142" i="1" s="1"/>
  <c r="O141" i="1" l="1"/>
  <c r="P141" i="1" s="1"/>
  <c r="W142" i="1"/>
  <c r="Y142" i="1" l="1"/>
  <c r="X142" i="1"/>
  <c r="Q141" i="1"/>
  <c r="S141" i="1" s="1"/>
  <c r="AA142" i="1" l="1"/>
  <c r="R141" i="1" l="1"/>
  <c r="N142" i="1" s="1"/>
  <c r="Z142" i="1" s="1"/>
  <c r="V143" i="1" s="1"/>
  <c r="O142" i="1" l="1"/>
  <c r="P142" i="1" s="1"/>
  <c r="W143" i="1"/>
  <c r="Y143" i="1" l="1"/>
  <c r="X143" i="1"/>
  <c r="Q142" i="1"/>
  <c r="S142" i="1" s="1"/>
  <c r="AA143" i="1" l="1"/>
  <c r="R142" i="1" l="1"/>
  <c r="N143" i="1" s="1"/>
  <c r="Z143" i="1" s="1"/>
  <c r="V144" i="1" s="1"/>
  <c r="O143" i="1" l="1"/>
  <c r="P143" i="1" s="1"/>
  <c r="W144" i="1"/>
  <c r="Y144" i="1" l="1"/>
  <c r="X144" i="1"/>
  <c r="Q143" i="1"/>
  <c r="S143" i="1" s="1"/>
  <c r="AA144" i="1" l="1"/>
  <c r="R143" i="1" l="1"/>
  <c r="N144" i="1" s="1"/>
  <c r="Z144" i="1" s="1"/>
  <c r="V145" i="1" s="1"/>
  <c r="O144" i="1" l="1"/>
  <c r="P144" i="1" s="1"/>
  <c r="W145" i="1"/>
  <c r="Y145" i="1" l="1"/>
  <c r="X145" i="1"/>
  <c r="Q144" i="1"/>
  <c r="S144" i="1" s="1"/>
  <c r="AA145" i="1" l="1"/>
  <c r="R144" i="1" l="1"/>
  <c r="N145" i="1" s="1"/>
  <c r="Z145" i="1" s="1"/>
  <c r="V146" i="1" s="1"/>
  <c r="O145" i="1" l="1"/>
  <c r="P145" i="1" s="1"/>
  <c r="W146" i="1"/>
  <c r="Y146" i="1" l="1"/>
  <c r="X146" i="1"/>
  <c r="Q145" i="1"/>
  <c r="S145" i="1" s="1"/>
  <c r="AA146" i="1" l="1"/>
  <c r="R145" i="1" l="1"/>
  <c r="N146" i="1" s="1"/>
  <c r="Z146" i="1" s="1"/>
  <c r="V147" i="1" s="1"/>
  <c r="O146" i="1" l="1"/>
  <c r="P146" i="1" s="1"/>
  <c r="W147" i="1"/>
  <c r="Y147" i="1" l="1"/>
  <c r="X147" i="1"/>
  <c r="Q146" i="1"/>
  <c r="S146" i="1" s="1"/>
  <c r="AA147" i="1" l="1"/>
  <c r="R146" i="1" l="1"/>
  <c r="N147" i="1" s="1"/>
  <c r="Z147" i="1" s="1"/>
  <c r="V148" i="1" s="1"/>
  <c r="O147" i="1" l="1"/>
  <c r="P147" i="1" s="1"/>
  <c r="W148" i="1"/>
  <c r="Y148" i="1" l="1"/>
  <c r="X148" i="1"/>
  <c r="Q147" i="1"/>
  <c r="S147" i="1" s="1"/>
  <c r="AA148" i="1" l="1"/>
  <c r="R147" i="1" l="1"/>
  <c r="N148" i="1" s="1"/>
  <c r="Z148" i="1" s="1"/>
  <c r="V149" i="1" s="1"/>
  <c r="O148" i="1" l="1"/>
  <c r="P148" i="1" s="1"/>
  <c r="W149" i="1"/>
  <c r="Y149" i="1" l="1"/>
  <c r="X149" i="1"/>
  <c r="Q148" i="1"/>
  <c r="S148" i="1" s="1"/>
  <c r="AA149" i="1" l="1"/>
  <c r="R148" i="1" l="1"/>
  <c r="N149" i="1" s="1"/>
  <c r="Z149" i="1" s="1"/>
  <c r="V150" i="1" s="1"/>
  <c r="O149" i="1" l="1"/>
  <c r="P149" i="1" s="1"/>
  <c r="W150" i="1"/>
  <c r="Y150" i="1" l="1"/>
  <c r="X150" i="1"/>
  <c r="Q149" i="1"/>
  <c r="S149" i="1" s="1"/>
  <c r="AA150" i="1" l="1"/>
  <c r="R149" i="1" l="1"/>
  <c r="N150" i="1" s="1"/>
  <c r="Z150" i="1" s="1"/>
  <c r="V151" i="1" s="1"/>
  <c r="O150" i="1" l="1"/>
  <c r="P150" i="1" s="1"/>
  <c r="W151" i="1"/>
  <c r="Y151" i="1" l="1"/>
  <c r="X151" i="1"/>
  <c r="Q150" i="1"/>
  <c r="S150" i="1" s="1"/>
  <c r="AA151" i="1" l="1"/>
  <c r="R150" i="1" l="1"/>
  <c r="N151" i="1" s="1"/>
  <c r="Z151" i="1" s="1"/>
  <c r="V152" i="1" s="1"/>
  <c r="O151" i="1" l="1"/>
  <c r="P151" i="1" s="1"/>
  <c r="W152" i="1"/>
  <c r="Y152" i="1" l="1"/>
  <c r="X152" i="1"/>
  <c r="Q151" i="1"/>
  <c r="S151" i="1" s="1"/>
  <c r="AA152" i="1" l="1"/>
  <c r="R151" i="1" l="1"/>
  <c r="N152" i="1" s="1"/>
  <c r="Z152" i="1" s="1"/>
  <c r="V153" i="1" s="1"/>
  <c r="O152" i="1" l="1"/>
  <c r="P152" i="1" s="1"/>
  <c r="W153" i="1"/>
  <c r="Y153" i="1" l="1"/>
  <c r="X153" i="1"/>
  <c r="Q152" i="1"/>
  <c r="S152" i="1" s="1"/>
  <c r="AA153" i="1" l="1"/>
  <c r="R152" i="1" l="1"/>
  <c r="N153" i="1" s="1"/>
  <c r="Z153" i="1" s="1"/>
  <c r="V154" i="1" s="1"/>
  <c r="O153" i="1" l="1"/>
  <c r="P153" i="1" s="1"/>
  <c r="W154" i="1"/>
  <c r="Y154" i="1" l="1"/>
  <c r="X154" i="1"/>
  <c r="Q153" i="1"/>
  <c r="S153" i="1" s="1"/>
  <c r="AA154" i="1" l="1"/>
  <c r="R153" i="1" l="1"/>
  <c r="N154" i="1" s="1"/>
  <c r="Z154" i="1" s="1"/>
  <c r="V155" i="1" s="1"/>
  <c r="O154" i="1" l="1"/>
  <c r="P154" i="1" s="1"/>
  <c r="W155" i="1"/>
  <c r="Y155" i="1" l="1"/>
  <c r="X155" i="1"/>
  <c r="Q154" i="1"/>
  <c r="S154" i="1" s="1"/>
  <c r="AA155" i="1" l="1"/>
  <c r="R154" i="1" l="1"/>
  <c r="N155" i="1" s="1"/>
  <c r="Z155" i="1" s="1"/>
  <c r="V156" i="1" s="1"/>
  <c r="O155" i="1" l="1"/>
  <c r="P155" i="1" s="1"/>
  <c r="W156" i="1"/>
  <c r="Y156" i="1" l="1"/>
  <c r="X156" i="1"/>
  <c r="Q155" i="1"/>
  <c r="S155" i="1" s="1"/>
  <c r="AA156" i="1" l="1"/>
  <c r="R155" i="1" l="1"/>
  <c r="N156" i="1" s="1"/>
  <c r="Z156" i="1" s="1"/>
  <c r="V157" i="1" s="1"/>
  <c r="O156" i="1" l="1"/>
  <c r="P156" i="1" s="1"/>
  <c r="W157" i="1"/>
  <c r="Y157" i="1" l="1"/>
  <c r="X157" i="1"/>
  <c r="Q156" i="1"/>
  <c r="S156" i="1" s="1"/>
  <c r="AA157" i="1" l="1"/>
  <c r="R156" i="1" l="1"/>
  <c r="N157" i="1" s="1"/>
  <c r="Z157" i="1" s="1"/>
  <c r="V158" i="1" s="1"/>
  <c r="O157" i="1" l="1"/>
  <c r="P157" i="1" s="1"/>
  <c r="W158" i="1"/>
  <c r="Y158" i="1" l="1"/>
  <c r="X158" i="1"/>
  <c r="Q157" i="1"/>
  <c r="S157" i="1" s="1"/>
  <c r="AA158" i="1" l="1"/>
  <c r="R157" i="1" l="1"/>
  <c r="N158" i="1" s="1"/>
  <c r="Z158" i="1" s="1"/>
  <c r="V159" i="1" s="1"/>
  <c r="O158" i="1" l="1"/>
  <c r="P158" i="1" s="1"/>
  <c r="W159" i="1"/>
  <c r="Y159" i="1" l="1"/>
  <c r="X159" i="1"/>
  <c r="Q158" i="1"/>
  <c r="S158" i="1" s="1"/>
  <c r="AA159" i="1" l="1"/>
  <c r="R158" i="1" l="1"/>
  <c r="N159" i="1" s="1"/>
  <c r="Z159" i="1" s="1"/>
  <c r="V160" i="1" s="1"/>
  <c r="O159" i="1" l="1"/>
  <c r="P159" i="1" s="1"/>
  <c r="W160" i="1"/>
  <c r="Y160" i="1" l="1"/>
  <c r="X160" i="1"/>
  <c r="Q159" i="1"/>
  <c r="S159" i="1" s="1"/>
  <c r="AA160" i="1" l="1"/>
  <c r="R159" i="1" l="1"/>
  <c r="N160" i="1" s="1"/>
  <c r="Z160" i="1" s="1"/>
  <c r="V161" i="1" s="1"/>
  <c r="O160" i="1" l="1"/>
  <c r="P160" i="1" s="1"/>
  <c r="W161" i="1"/>
  <c r="Y161" i="1" l="1"/>
  <c r="X161" i="1"/>
  <c r="Q160" i="1"/>
  <c r="S160" i="1" s="1"/>
  <c r="AA161" i="1" l="1"/>
  <c r="R160" i="1" l="1"/>
  <c r="N161" i="1" s="1"/>
  <c r="Z161" i="1" s="1"/>
  <c r="V162" i="1" s="1"/>
  <c r="O161" i="1" l="1"/>
  <c r="P161" i="1" s="1"/>
  <c r="W162" i="1"/>
  <c r="Y162" i="1" l="1"/>
  <c r="X162" i="1"/>
  <c r="Q161" i="1"/>
  <c r="S161" i="1" s="1"/>
  <c r="AA162" i="1" l="1"/>
  <c r="R161" i="1" l="1"/>
  <c r="N162" i="1" s="1"/>
  <c r="Z162" i="1" s="1"/>
  <c r="V163" i="1" s="1"/>
  <c r="O162" i="1" l="1"/>
  <c r="P162" i="1" s="1"/>
  <c r="W163" i="1"/>
  <c r="Y163" i="1" l="1"/>
  <c r="X163" i="1"/>
  <c r="Q162" i="1"/>
  <c r="S162" i="1" s="1"/>
  <c r="AA163" i="1" l="1"/>
  <c r="R162" i="1" l="1"/>
  <c r="N163" i="1" s="1"/>
  <c r="Z163" i="1" s="1"/>
  <c r="V164" i="1" s="1"/>
  <c r="O163" i="1" l="1"/>
  <c r="P163" i="1" s="1"/>
  <c r="W164" i="1"/>
  <c r="Y164" i="1" l="1"/>
  <c r="X164" i="1"/>
  <c r="Q163" i="1"/>
  <c r="S163" i="1" s="1"/>
  <c r="AA164" i="1" l="1"/>
  <c r="R163" i="1" l="1"/>
  <c r="N164" i="1" s="1"/>
  <c r="Z164" i="1" s="1"/>
  <c r="V165" i="1" s="1"/>
  <c r="O164" i="1" l="1"/>
  <c r="P164" i="1" s="1"/>
  <c r="W165" i="1"/>
  <c r="Y165" i="1" l="1"/>
  <c r="X165" i="1"/>
  <c r="Q164" i="1"/>
  <c r="S164" i="1" s="1"/>
  <c r="AA165" i="1" l="1"/>
  <c r="R164" i="1"/>
  <c r="N165" i="1" s="1"/>
  <c r="Z165" i="1" s="1"/>
  <c r="V166" i="1" s="1"/>
  <c r="O165" i="1" l="1"/>
  <c r="P165" i="1" s="1"/>
  <c r="W166" i="1"/>
  <c r="Y166" i="1" l="1"/>
  <c r="X166" i="1"/>
  <c r="Q165" i="1"/>
  <c r="S165" i="1" s="1"/>
  <c r="AA166" i="1" l="1"/>
  <c r="R165" i="1" l="1"/>
  <c r="N166" i="1" s="1"/>
  <c r="Z166" i="1" s="1"/>
  <c r="V167" i="1" s="1"/>
  <c r="O166" i="1" l="1"/>
  <c r="P166" i="1" s="1"/>
  <c r="W167" i="1"/>
  <c r="Y167" i="1" l="1"/>
  <c r="X167" i="1"/>
  <c r="Q166" i="1"/>
  <c r="S166" i="1" s="1"/>
  <c r="AA167" i="1" l="1"/>
  <c r="R166" i="1" l="1"/>
  <c r="N167" i="1" s="1"/>
  <c r="Z167" i="1" s="1"/>
  <c r="V168" i="1" s="1"/>
  <c r="O167" i="1" l="1"/>
  <c r="P167" i="1" s="1"/>
  <c r="W168" i="1"/>
  <c r="Y168" i="1" l="1"/>
  <c r="X168" i="1"/>
  <c r="Q167" i="1"/>
  <c r="S167" i="1" s="1"/>
  <c r="AA168" i="1" l="1"/>
  <c r="R167" i="1" l="1"/>
  <c r="N168" i="1" s="1"/>
  <c r="Z168" i="1" s="1"/>
  <c r="V169" i="1" s="1"/>
  <c r="O168" i="1" l="1"/>
  <c r="P168" i="1" s="1"/>
  <c r="W169" i="1"/>
  <c r="Y169" i="1" l="1"/>
  <c r="X169" i="1"/>
  <c r="Q168" i="1"/>
  <c r="S168" i="1" s="1"/>
  <c r="AA169" i="1" l="1"/>
  <c r="R168" i="1" l="1"/>
  <c r="N169" i="1" s="1"/>
  <c r="Z169" i="1" s="1"/>
  <c r="V170" i="1" s="1"/>
  <c r="O169" i="1" l="1"/>
  <c r="P169" i="1" s="1"/>
  <c r="W170" i="1"/>
  <c r="Y170" i="1" l="1"/>
  <c r="X170" i="1"/>
  <c r="Q169" i="1"/>
  <c r="S169" i="1" s="1"/>
  <c r="AA170" i="1" l="1"/>
  <c r="R169" i="1" l="1"/>
  <c r="N170" i="1" s="1"/>
  <c r="Z170" i="1" s="1"/>
  <c r="V171" i="1" s="1"/>
  <c r="O170" i="1" l="1"/>
  <c r="P170" i="1" s="1"/>
  <c r="W171" i="1"/>
  <c r="Y171" i="1" l="1"/>
  <c r="X171" i="1"/>
  <c r="Q170" i="1"/>
  <c r="S170" i="1" s="1"/>
  <c r="AA171" i="1" l="1"/>
  <c r="R170" i="1" l="1"/>
  <c r="N171" i="1" s="1"/>
  <c r="Z171" i="1" s="1"/>
  <c r="V172" i="1" s="1"/>
  <c r="O171" i="1" l="1"/>
  <c r="P171" i="1" s="1"/>
  <c r="W172" i="1"/>
  <c r="Y172" i="1" l="1"/>
  <c r="X172" i="1"/>
  <c r="Q171" i="1"/>
  <c r="S171" i="1" s="1"/>
  <c r="AA172" i="1" l="1"/>
  <c r="R171" i="1" l="1"/>
  <c r="N172" i="1" s="1"/>
  <c r="Z172" i="1" s="1"/>
  <c r="V173" i="1" s="1"/>
  <c r="O172" i="1" l="1"/>
  <c r="P172" i="1" s="1"/>
  <c r="W173" i="1"/>
  <c r="Y173" i="1" l="1"/>
  <c r="X173" i="1"/>
  <c r="Q172" i="1"/>
  <c r="S172" i="1" s="1"/>
  <c r="AA173" i="1" l="1"/>
  <c r="R172" i="1" l="1"/>
  <c r="N173" i="1" s="1"/>
  <c r="Z173" i="1" s="1"/>
  <c r="V174" i="1" s="1"/>
  <c r="O173" i="1" l="1"/>
  <c r="P173" i="1" s="1"/>
  <c r="W174" i="1"/>
  <c r="Y174" i="1" l="1"/>
  <c r="X174" i="1"/>
  <c r="Q173" i="1"/>
  <c r="S173" i="1" s="1"/>
  <c r="AA174" i="1" l="1"/>
  <c r="R173" i="1" l="1"/>
  <c r="N174" i="1" s="1"/>
  <c r="Z174" i="1" s="1"/>
  <c r="V175" i="1" s="1"/>
  <c r="O174" i="1" l="1"/>
  <c r="P174" i="1" s="1"/>
  <c r="W175" i="1"/>
  <c r="Y175" i="1" l="1"/>
  <c r="X175" i="1"/>
  <c r="Q174" i="1"/>
  <c r="S174" i="1" s="1"/>
  <c r="AA175" i="1" l="1"/>
  <c r="R174" i="1" l="1"/>
  <c r="N175" i="1" s="1"/>
  <c r="Z175" i="1" s="1"/>
  <c r="V176" i="1" s="1"/>
  <c r="O175" i="1" l="1"/>
  <c r="P175" i="1" s="1"/>
  <c r="W176" i="1"/>
  <c r="Y176" i="1" l="1"/>
  <c r="X176" i="1"/>
  <c r="Q175" i="1"/>
  <c r="S175" i="1" s="1"/>
  <c r="AA176" i="1" l="1"/>
  <c r="R175" i="1" l="1"/>
  <c r="N176" i="1" s="1"/>
  <c r="Z176" i="1" s="1"/>
  <c r="V177" i="1" s="1"/>
  <c r="O176" i="1" l="1"/>
  <c r="P176" i="1" s="1"/>
  <c r="W177" i="1"/>
  <c r="Y177" i="1" l="1"/>
  <c r="X177" i="1"/>
  <c r="Q176" i="1"/>
  <c r="S176" i="1" s="1"/>
  <c r="AA177" i="1" l="1"/>
  <c r="R176" i="1" l="1"/>
  <c r="N177" i="1" s="1"/>
  <c r="Z177" i="1" s="1"/>
  <c r="V178" i="1" s="1"/>
  <c r="O177" i="1" l="1"/>
  <c r="P177" i="1" s="1"/>
  <c r="W178" i="1"/>
  <c r="Y178" i="1" l="1"/>
  <c r="X178" i="1"/>
  <c r="Q177" i="1"/>
  <c r="S177" i="1" s="1"/>
  <c r="AA178" i="1" l="1"/>
  <c r="R177" i="1" l="1"/>
  <c r="N178" i="1" s="1"/>
  <c r="Z178" i="1" s="1"/>
  <c r="V179" i="1" s="1"/>
  <c r="O178" i="1" l="1"/>
  <c r="P178" i="1" s="1"/>
  <c r="W179" i="1"/>
  <c r="Y179" i="1" l="1"/>
  <c r="X179" i="1"/>
  <c r="Q178" i="1"/>
  <c r="S178" i="1" s="1"/>
  <c r="AA179" i="1" l="1"/>
  <c r="R178" i="1" l="1"/>
  <c r="N179" i="1" s="1"/>
  <c r="Z179" i="1" s="1"/>
  <c r="V180" i="1" s="1"/>
  <c r="O179" i="1" l="1"/>
  <c r="P179" i="1" s="1"/>
  <c r="W180" i="1"/>
  <c r="Y180" i="1" l="1"/>
  <c r="X180" i="1"/>
  <c r="Q179" i="1"/>
  <c r="S179" i="1" s="1"/>
  <c r="AA180" i="1" l="1"/>
  <c r="R179" i="1" l="1"/>
  <c r="N180" i="1" s="1"/>
  <c r="Z180" i="1" s="1"/>
  <c r="V181" i="1" s="1"/>
  <c r="O180" i="1" l="1"/>
  <c r="P180" i="1" s="1"/>
  <c r="W181" i="1"/>
  <c r="Y181" i="1" l="1"/>
  <c r="X181" i="1"/>
  <c r="Q180" i="1"/>
  <c r="S180" i="1" s="1"/>
  <c r="AA181" i="1" l="1"/>
  <c r="R180" i="1" l="1"/>
  <c r="N181" i="1" s="1"/>
  <c r="Z181" i="1" s="1"/>
  <c r="V182" i="1" s="1"/>
  <c r="O181" i="1" l="1"/>
  <c r="P181" i="1" s="1"/>
  <c r="W182" i="1"/>
  <c r="Y182" i="1" l="1"/>
  <c r="X182" i="1"/>
  <c r="Q181" i="1"/>
  <c r="S181" i="1" s="1"/>
  <c r="AA182" i="1" l="1"/>
  <c r="R181" i="1" l="1"/>
  <c r="N182" i="1" s="1"/>
  <c r="Z182" i="1" s="1"/>
  <c r="V183" i="1" s="1"/>
  <c r="O182" i="1" l="1"/>
  <c r="P182" i="1" s="1"/>
  <c r="W183" i="1"/>
  <c r="Y183" i="1" l="1"/>
  <c r="X183" i="1"/>
  <c r="Q182" i="1"/>
  <c r="S182" i="1" s="1"/>
  <c r="AA183" i="1" l="1"/>
  <c r="R182" i="1" l="1"/>
  <c r="N183" i="1" s="1"/>
  <c r="Z183" i="1" s="1"/>
  <c r="V184" i="1" s="1"/>
  <c r="O183" i="1" l="1"/>
  <c r="P183" i="1" s="1"/>
  <c r="W184" i="1"/>
  <c r="Y184" i="1" l="1"/>
  <c r="X184" i="1"/>
  <c r="Q183" i="1"/>
  <c r="S183" i="1" s="1"/>
  <c r="AA184" i="1" l="1"/>
  <c r="R183" i="1" l="1"/>
  <c r="N184" i="1" s="1"/>
  <c r="Z184" i="1" s="1"/>
  <c r="V185" i="1" s="1"/>
  <c r="O184" i="1" l="1"/>
  <c r="P184" i="1" s="1"/>
  <c r="W185" i="1"/>
  <c r="Y185" i="1" l="1"/>
  <c r="X185" i="1"/>
  <c r="Q184" i="1"/>
  <c r="S184" i="1" s="1"/>
  <c r="AA185" i="1" l="1"/>
  <c r="R184" i="1" l="1"/>
  <c r="N185" i="1" s="1"/>
  <c r="Z185" i="1" s="1"/>
  <c r="V186" i="1" s="1"/>
  <c r="O185" i="1" l="1"/>
  <c r="P185" i="1" s="1"/>
  <c r="W186" i="1"/>
  <c r="Y186" i="1" l="1"/>
  <c r="X186" i="1"/>
  <c r="Q185" i="1"/>
  <c r="S185" i="1" s="1"/>
  <c r="AA186" i="1" l="1"/>
  <c r="R185" i="1" l="1"/>
  <c r="N186" i="1" s="1"/>
  <c r="Z186" i="1" s="1"/>
  <c r="V187" i="1" s="1"/>
  <c r="O186" i="1" l="1"/>
  <c r="P186" i="1" s="1"/>
  <c r="W187" i="1"/>
  <c r="Y187" i="1" l="1"/>
  <c r="X187" i="1"/>
  <c r="Q186" i="1"/>
  <c r="S186" i="1" s="1"/>
  <c r="AA187" i="1" l="1"/>
  <c r="R186" i="1" l="1"/>
  <c r="N187" i="1" s="1"/>
  <c r="Z187" i="1" s="1"/>
  <c r="V188" i="1" s="1"/>
  <c r="O187" i="1" l="1"/>
  <c r="P187" i="1" s="1"/>
  <c r="W188" i="1"/>
  <c r="Y188" i="1" l="1"/>
  <c r="X188" i="1"/>
  <c r="Q187" i="1"/>
  <c r="S187" i="1" s="1"/>
  <c r="AA188" i="1" l="1"/>
  <c r="R187" i="1" l="1"/>
  <c r="N188" i="1" s="1"/>
  <c r="Z188" i="1" s="1"/>
  <c r="V189" i="1" s="1"/>
  <c r="O188" i="1" l="1"/>
  <c r="P188" i="1" s="1"/>
  <c r="W189" i="1"/>
  <c r="Y189" i="1" l="1"/>
  <c r="X189" i="1"/>
  <c r="Q188" i="1"/>
  <c r="S188" i="1" s="1"/>
  <c r="AA189" i="1" l="1"/>
  <c r="R188" i="1" l="1"/>
  <c r="N189" i="1" s="1"/>
  <c r="Z189" i="1" s="1"/>
  <c r="V190" i="1" s="1"/>
  <c r="O189" i="1" l="1"/>
  <c r="P189" i="1" s="1"/>
  <c r="W190" i="1"/>
  <c r="Y190" i="1" l="1"/>
  <c r="X190" i="1"/>
  <c r="Q189" i="1"/>
  <c r="S189" i="1" s="1"/>
  <c r="AA190" i="1" l="1"/>
  <c r="R189" i="1" l="1"/>
  <c r="N190" i="1" s="1"/>
  <c r="Z190" i="1" s="1"/>
  <c r="V191" i="1" s="1"/>
  <c r="O190" i="1" l="1"/>
  <c r="P190" i="1" s="1"/>
  <c r="W191" i="1"/>
  <c r="Y191" i="1" l="1"/>
  <c r="X191" i="1"/>
  <c r="Q190" i="1"/>
  <c r="S190" i="1" s="1"/>
  <c r="AA191" i="1" l="1"/>
  <c r="R190" i="1" l="1"/>
  <c r="N191" i="1" s="1"/>
  <c r="Z191" i="1" s="1"/>
  <c r="V192" i="1" s="1"/>
  <c r="O191" i="1" l="1"/>
  <c r="P191" i="1" s="1"/>
  <c r="W192" i="1"/>
  <c r="Y192" i="1" l="1"/>
  <c r="X192" i="1"/>
  <c r="Q191" i="1"/>
  <c r="S191" i="1" s="1"/>
  <c r="AA192" i="1" l="1"/>
  <c r="R191" i="1" l="1"/>
  <c r="N192" i="1" s="1"/>
  <c r="Z192" i="1" s="1"/>
  <c r="V193" i="1" s="1"/>
  <c r="O192" i="1" l="1"/>
  <c r="P192" i="1" s="1"/>
  <c r="W193" i="1"/>
  <c r="Y193" i="1" l="1"/>
  <c r="X193" i="1"/>
  <c r="Q192" i="1"/>
  <c r="S192" i="1" s="1"/>
  <c r="AA193" i="1" l="1"/>
  <c r="R192" i="1" l="1"/>
  <c r="N193" i="1" s="1"/>
  <c r="Z193" i="1" s="1"/>
  <c r="V194" i="1" s="1"/>
  <c r="O193" i="1" l="1"/>
  <c r="P193" i="1" s="1"/>
  <c r="W194" i="1"/>
  <c r="Y194" i="1" l="1"/>
  <c r="X194" i="1"/>
  <c r="Q193" i="1"/>
  <c r="S193" i="1" l="1"/>
  <c r="AA194" i="1"/>
  <c r="R193" i="1" l="1"/>
  <c r="N194" i="1" s="1"/>
  <c r="Z194" i="1" s="1"/>
  <c r="V195" i="1" s="1"/>
  <c r="O194" i="1" l="1"/>
  <c r="P194" i="1" s="1"/>
  <c r="W195" i="1"/>
  <c r="Y195" i="1" l="1"/>
  <c r="X195" i="1"/>
  <c r="Q194" i="1"/>
  <c r="S194" i="1" s="1"/>
  <c r="AA195" i="1" l="1"/>
  <c r="R194" i="1" l="1"/>
  <c r="N195" i="1" s="1"/>
  <c r="Z195" i="1" s="1"/>
  <c r="V196" i="1" s="1"/>
  <c r="O195" i="1" l="1"/>
  <c r="P195" i="1" s="1"/>
  <c r="W196" i="1"/>
  <c r="Y196" i="1" l="1"/>
  <c r="X196" i="1"/>
  <c r="Q195" i="1"/>
  <c r="S195" i="1" s="1"/>
  <c r="AA196" i="1" l="1"/>
  <c r="R195" i="1" l="1"/>
  <c r="N196" i="1" s="1"/>
  <c r="Z196" i="1" s="1"/>
  <c r="V197" i="1" s="1"/>
  <c r="O196" i="1" l="1"/>
  <c r="P196" i="1" s="1"/>
  <c r="W197" i="1"/>
  <c r="Y197" i="1" l="1"/>
  <c r="X197" i="1"/>
  <c r="Q196" i="1"/>
  <c r="S196" i="1" s="1"/>
  <c r="AA197" i="1" l="1"/>
  <c r="R196" i="1" l="1"/>
  <c r="N197" i="1" s="1"/>
  <c r="Z197" i="1" s="1"/>
  <c r="V198" i="1" s="1"/>
  <c r="O197" i="1" l="1"/>
  <c r="P197" i="1" s="1"/>
  <c r="W198" i="1"/>
  <c r="Y198" i="1" l="1"/>
  <c r="X198" i="1"/>
  <c r="Q197" i="1"/>
  <c r="S197" i="1" s="1"/>
  <c r="AA198" i="1" l="1"/>
  <c r="R197" i="1" l="1"/>
  <c r="N198" i="1" s="1"/>
  <c r="Z198" i="1" s="1"/>
  <c r="V199" i="1" s="1"/>
  <c r="O198" i="1" l="1"/>
  <c r="P198" i="1" s="1"/>
  <c r="W199" i="1"/>
  <c r="Y199" i="1" l="1"/>
  <c r="X199" i="1"/>
  <c r="Q198" i="1"/>
  <c r="S198" i="1" s="1"/>
  <c r="AA199" i="1" l="1"/>
  <c r="R198" i="1" l="1"/>
  <c r="N199" i="1" s="1"/>
  <c r="Z199" i="1" s="1"/>
  <c r="V200" i="1" s="1"/>
  <c r="O199" i="1" l="1"/>
  <c r="P199" i="1" s="1"/>
  <c r="W200" i="1"/>
  <c r="Y200" i="1" l="1"/>
  <c r="X200" i="1"/>
  <c r="Q199" i="1"/>
  <c r="S199" i="1" s="1"/>
  <c r="AA200" i="1" l="1"/>
  <c r="R199" i="1" l="1"/>
  <c r="N200" i="1" s="1"/>
  <c r="Z200" i="1" s="1"/>
  <c r="V201" i="1" s="1"/>
  <c r="O200" i="1" l="1"/>
  <c r="P200" i="1" s="1"/>
  <c r="W201" i="1"/>
  <c r="Y201" i="1" l="1"/>
  <c r="X201" i="1"/>
  <c r="Q200" i="1"/>
  <c r="S200" i="1" s="1"/>
  <c r="AA201" i="1" l="1"/>
  <c r="R200" i="1" l="1"/>
  <c r="N201" i="1" s="1"/>
  <c r="Z201" i="1" s="1"/>
  <c r="V202" i="1" s="1"/>
  <c r="O201" i="1" l="1"/>
  <c r="P201" i="1" s="1"/>
  <c r="W202" i="1"/>
  <c r="Y202" i="1" l="1"/>
  <c r="X202" i="1"/>
  <c r="Q201" i="1"/>
  <c r="S201" i="1" s="1"/>
  <c r="AA202" i="1" l="1"/>
  <c r="R201" i="1" l="1"/>
  <c r="N202" i="1" s="1"/>
  <c r="Z202" i="1" s="1"/>
  <c r="V203" i="1" s="1"/>
  <c r="O202" i="1" l="1"/>
  <c r="P202" i="1" s="1"/>
  <c r="W203" i="1"/>
  <c r="Y203" i="1" l="1"/>
  <c r="X203" i="1"/>
  <c r="Q202" i="1"/>
  <c r="S202" i="1" s="1"/>
  <c r="AA203" i="1" l="1"/>
  <c r="R202" i="1" l="1"/>
  <c r="N203" i="1" s="1"/>
  <c r="Z203" i="1" s="1"/>
  <c r="V204" i="1" s="1"/>
  <c r="O203" i="1" l="1"/>
  <c r="P203" i="1" s="1"/>
  <c r="W204" i="1"/>
  <c r="Y204" i="1" l="1"/>
  <c r="X204" i="1"/>
  <c r="Q203" i="1"/>
  <c r="S203" i="1" s="1"/>
  <c r="AA204" i="1" l="1"/>
  <c r="R203" i="1" l="1"/>
  <c r="N204" i="1" s="1"/>
  <c r="Z204" i="1" s="1"/>
  <c r="V205" i="1" s="1"/>
  <c r="O204" i="1" l="1"/>
  <c r="P204" i="1" s="1"/>
  <c r="W205" i="1"/>
  <c r="Y205" i="1" l="1"/>
  <c r="X205" i="1"/>
  <c r="Q204" i="1"/>
  <c r="S204" i="1" l="1"/>
  <c r="AA205" i="1"/>
  <c r="R204" i="1" l="1"/>
  <c r="N205" i="1" s="1"/>
  <c r="Z205" i="1" s="1"/>
  <c r="V206" i="1" s="1"/>
  <c r="O205" i="1" l="1"/>
  <c r="P205" i="1" s="1"/>
  <c r="W206" i="1"/>
  <c r="Y206" i="1" l="1"/>
  <c r="X206" i="1"/>
  <c r="Q205" i="1"/>
  <c r="S205" i="1" s="1"/>
  <c r="AA206" i="1" l="1"/>
  <c r="R205" i="1" l="1"/>
  <c r="N206" i="1" s="1"/>
  <c r="Z206" i="1" s="1"/>
  <c r="V207" i="1" s="1"/>
  <c r="O206" i="1" l="1"/>
  <c r="P206" i="1" s="1"/>
  <c r="W207" i="1"/>
  <c r="Y207" i="1" l="1"/>
  <c r="X207" i="1"/>
  <c r="Q206" i="1"/>
  <c r="S206" i="1" s="1"/>
  <c r="AA207" i="1" l="1"/>
  <c r="R206" i="1" l="1"/>
  <c r="N207" i="1" s="1"/>
  <c r="Z207" i="1" s="1"/>
  <c r="V208" i="1" s="1"/>
  <c r="O207" i="1" l="1"/>
  <c r="P207" i="1" s="1"/>
  <c r="W208" i="1"/>
  <c r="Y208" i="1" l="1"/>
  <c r="X208" i="1"/>
  <c r="Q207" i="1"/>
  <c r="S207" i="1" s="1"/>
  <c r="AA208" i="1" l="1"/>
  <c r="R207" i="1" l="1"/>
  <c r="N208" i="1" s="1"/>
  <c r="Z208" i="1" s="1"/>
  <c r="V209" i="1" s="1"/>
  <c r="O208" i="1" l="1"/>
  <c r="P208" i="1" s="1"/>
  <c r="W209" i="1"/>
  <c r="Y209" i="1" l="1"/>
  <c r="X209" i="1"/>
  <c r="Q208" i="1"/>
  <c r="S208" i="1" s="1"/>
  <c r="AA209" i="1" l="1"/>
  <c r="R208" i="1" l="1"/>
  <c r="N209" i="1" s="1"/>
  <c r="Z209" i="1" s="1"/>
  <c r="V210" i="1" s="1"/>
  <c r="O209" i="1" l="1"/>
  <c r="P209" i="1" s="1"/>
  <c r="W210" i="1"/>
  <c r="Y210" i="1" l="1"/>
  <c r="X210" i="1"/>
  <c r="Q209" i="1"/>
  <c r="S209" i="1" s="1"/>
  <c r="AA210" i="1" l="1"/>
  <c r="R209" i="1" l="1"/>
  <c r="N210" i="1" s="1"/>
  <c r="Z210" i="1" s="1"/>
  <c r="V211" i="1" s="1"/>
  <c r="O210" i="1" l="1"/>
  <c r="P210" i="1" s="1"/>
  <c r="W211" i="1"/>
  <c r="Y211" i="1" l="1"/>
  <c r="X211" i="1"/>
  <c r="Q210" i="1"/>
  <c r="S210" i="1" s="1"/>
  <c r="AA211" i="1" l="1"/>
  <c r="R210" i="1" l="1"/>
  <c r="N211" i="1" s="1"/>
  <c r="Z211" i="1" s="1"/>
  <c r="V212" i="1" s="1"/>
  <c r="O211" i="1" l="1"/>
  <c r="P211" i="1" s="1"/>
  <c r="W212" i="1"/>
  <c r="Y212" i="1" l="1"/>
  <c r="X212" i="1"/>
  <c r="Q211" i="1"/>
  <c r="S211" i="1" s="1"/>
  <c r="AA212" i="1" l="1"/>
  <c r="R211" i="1" l="1"/>
  <c r="N212" i="1" s="1"/>
  <c r="Z212" i="1" s="1"/>
  <c r="V213" i="1" s="1"/>
  <c r="O212" i="1" l="1"/>
  <c r="P212" i="1" s="1"/>
  <c r="W213" i="1"/>
  <c r="Y213" i="1" l="1"/>
  <c r="X213" i="1"/>
  <c r="Q212" i="1"/>
  <c r="S212" i="1" s="1"/>
  <c r="AA213" i="1" l="1"/>
  <c r="R212" i="1" l="1"/>
  <c r="N213" i="1" s="1"/>
  <c r="Z213" i="1" s="1"/>
  <c r="V214" i="1" s="1"/>
  <c r="O213" i="1" l="1"/>
  <c r="P213" i="1" s="1"/>
  <c r="W214" i="1"/>
  <c r="Y214" i="1" l="1"/>
  <c r="X214" i="1"/>
  <c r="Q213" i="1"/>
  <c r="S213" i="1" s="1"/>
  <c r="AA214" i="1" l="1"/>
  <c r="R213" i="1" l="1"/>
  <c r="N214" i="1" s="1"/>
  <c r="Z214" i="1" s="1"/>
  <c r="V215" i="1" s="1"/>
  <c r="O214" i="1" l="1"/>
  <c r="P214" i="1" s="1"/>
  <c r="W215" i="1"/>
  <c r="Y215" i="1" l="1"/>
  <c r="X215" i="1"/>
  <c r="Q214" i="1"/>
  <c r="S214" i="1" s="1"/>
  <c r="AA215" i="1" l="1"/>
  <c r="R214" i="1" l="1"/>
  <c r="N215" i="1" s="1"/>
  <c r="Z215" i="1" s="1"/>
  <c r="V216" i="1" s="1"/>
  <c r="O215" i="1" l="1"/>
  <c r="P215" i="1" s="1"/>
  <c r="W216" i="1"/>
  <c r="Y216" i="1" l="1"/>
  <c r="X216" i="1"/>
  <c r="Q215" i="1"/>
  <c r="S215" i="1" s="1"/>
  <c r="AA216" i="1" l="1"/>
  <c r="R215" i="1" l="1"/>
  <c r="N216" i="1" s="1"/>
  <c r="Z216" i="1" s="1"/>
  <c r="V217" i="1" s="1"/>
  <c r="O216" i="1" l="1"/>
  <c r="P216" i="1" s="1"/>
  <c r="W217" i="1"/>
  <c r="Y217" i="1" l="1"/>
  <c r="X217" i="1"/>
  <c r="Q216" i="1"/>
  <c r="S216" i="1" s="1"/>
  <c r="AA217" i="1" l="1"/>
  <c r="R216" i="1" l="1"/>
  <c r="N217" i="1" s="1"/>
  <c r="Z217" i="1" s="1"/>
  <c r="V218" i="1" s="1"/>
  <c r="O217" i="1" l="1"/>
  <c r="P217" i="1" s="1"/>
  <c r="W218" i="1"/>
  <c r="Y218" i="1" l="1"/>
  <c r="X218" i="1"/>
  <c r="Q217" i="1"/>
  <c r="S217" i="1" s="1"/>
  <c r="AA218" i="1" l="1"/>
  <c r="R217" i="1" l="1"/>
  <c r="N218" i="1" s="1"/>
  <c r="Z218" i="1" s="1"/>
  <c r="V219" i="1" s="1"/>
  <c r="O218" i="1" l="1"/>
  <c r="P218" i="1" s="1"/>
  <c r="W219" i="1"/>
  <c r="Y219" i="1" l="1"/>
  <c r="X219" i="1"/>
  <c r="Q218" i="1"/>
  <c r="S218" i="1" s="1"/>
  <c r="AA219" i="1" l="1"/>
  <c r="R218" i="1" l="1"/>
  <c r="N219" i="1" s="1"/>
  <c r="Z219" i="1" s="1"/>
  <c r="V220" i="1" s="1"/>
  <c r="O219" i="1" l="1"/>
  <c r="P219" i="1" s="1"/>
  <c r="W220" i="1"/>
  <c r="Y220" i="1" l="1"/>
  <c r="X220" i="1"/>
  <c r="Q219" i="1"/>
  <c r="S219" i="1" s="1"/>
  <c r="AA220" i="1" l="1"/>
  <c r="R219" i="1" l="1"/>
  <c r="N220" i="1" s="1"/>
  <c r="Z220" i="1" s="1"/>
  <c r="V221" i="1" s="1"/>
  <c r="O220" i="1" l="1"/>
  <c r="P220" i="1" s="1"/>
  <c r="W221" i="1"/>
  <c r="Y221" i="1" l="1"/>
  <c r="X221" i="1"/>
  <c r="Q220" i="1"/>
  <c r="S220" i="1" s="1"/>
  <c r="AA221" i="1" l="1"/>
  <c r="R220" i="1" l="1"/>
  <c r="N221" i="1" s="1"/>
  <c r="Z221" i="1" s="1"/>
  <c r="V222" i="1" s="1"/>
  <c r="O221" i="1" l="1"/>
  <c r="P221" i="1" s="1"/>
  <c r="W222" i="1"/>
  <c r="Y222" i="1" l="1"/>
  <c r="X222" i="1"/>
  <c r="Q221" i="1"/>
  <c r="S221" i="1" s="1"/>
  <c r="AA222" i="1" l="1"/>
  <c r="R221" i="1" l="1"/>
  <c r="N222" i="1" s="1"/>
  <c r="Z222" i="1" s="1"/>
  <c r="V223" i="1" s="1"/>
  <c r="O222" i="1" l="1"/>
  <c r="P222" i="1" s="1"/>
  <c r="W223" i="1"/>
  <c r="Y223" i="1" l="1"/>
  <c r="X223" i="1"/>
  <c r="Q222" i="1"/>
  <c r="S222" i="1" s="1"/>
  <c r="AA223" i="1" l="1"/>
  <c r="R222" i="1" l="1"/>
  <c r="N223" i="1" s="1"/>
  <c r="Z223" i="1" s="1"/>
  <c r="V224" i="1" s="1"/>
  <c r="O223" i="1" l="1"/>
  <c r="P223" i="1" s="1"/>
  <c r="W224" i="1"/>
  <c r="Y224" i="1" l="1"/>
  <c r="X224" i="1"/>
  <c r="Q223" i="1"/>
  <c r="S223" i="1" s="1"/>
  <c r="AA224" i="1" l="1"/>
  <c r="R223" i="1" l="1"/>
  <c r="N224" i="1" s="1"/>
  <c r="Z224" i="1" s="1"/>
  <c r="V225" i="1" s="1"/>
  <c r="O224" i="1" l="1"/>
  <c r="P224" i="1" s="1"/>
  <c r="W225" i="1"/>
  <c r="Y225" i="1" l="1"/>
  <c r="X225" i="1"/>
  <c r="Q224" i="1"/>
  <c r="S224" i="1" s="1"/>
  <c r="AA225" i="1" l="1"/>
  <c r="R224" i="1" l="1"/>
  <c r="N225" i="1" s="1"/>
  <c r="Z225" i="1" s="1"/>
  <c r="V226" i="1" s="1"/>
  <c r="O225" i="1" l="1"/>
  <c r="P225" i="1" s="1"/>
  <c r="W226" i="1"/>
  <c r="Y226" i="1" l="1"/>
  <c r="X226" i="1"/>
  <c r="Q225" i="1"/>
  <c r="S225" i="1" s="1"/>
  <c r="AA226" i="1" l="1"/>
  <c r="R225" i="1" l="1"/>
  <c r="N226" i="1" s="1"/>
  <c r="Z226" i="1" s="1"/>
  <c r="V227" i="1" s="1"/>
  <c r="O226" i="1" l="1"/>
  <c r="P226" i="1" s="1"/>
  <c r="W227" i="1"/>
  <c r="Y227" i="1" l="1"/>
  <c r="X227" i="1"/>
  <c r="Q226" i="1"/>
  <c r="S226" i="1" s="1"/>
  <c r="AA227" i="1" l="1"/>
  <c r="R226" i="1" l="1"/>
  <c r="N227" i="1" s="1"/>
  <c r="Z227" i="1" s="1"/>
  <c r="V228" i="1" s="1"/>
  <c r="O227" i="1" l="1"/>
  <c r="P227" i="1" s="1"/>
  <c r="W228" i="1"/>
  <c r="Y228" i="1" l="1"/>
  <c r="X228" i="1"/>
  <c r="Q227" i="1"/>
  <c r="S227" i="1" s="1"/>
  <c r="AA228" i="1" l="1"/>
  <c r="R227" i="1" l="1"/>
  <c r="N228" i="1" s="1"/>
  <c r="Z228" i="1" s="1"/>
  <c r="V229" i="1" s="1"/>
  <c r="O228" i="1" l="1"/>
  <c r="P228" i="1" s="1"/>
  <c r="W229" i="1"/>
  <c r="Y229" i="1" l="1"/>
  <c r="X229" i="1"/>
  <c r="Q228" i="1"/>
  <c r="S228" i="1" s="1"/>
  <c r="AA229" i="1" l="1"/>
  <c r="R228" i="1" l="1"/>
  <c r="N229" i="1" s="1"/>
  <c r="Z229" i="1" s="1"/>
  <c r="V230" i="1" s="1"/>
  <c r="O229" i="1" l="1"/>
  <c r="P229" i="1" s="1"/>
  <c r="W230" i="1"/>
  <c r="Y230" i="1" l="1"/>
  <c r="X230" i="1"/>
  <c r="Q229" i="1"/>
  <c r="S229" i="1" s="1"/>
  <c r="AA230" i="1" l="1"/>
  <c r="R229" i="1" l="1"/>
  <c r="N230" i="1" s="1"/>
  <c r="Z230" i="1" s="1"/>
  <c r="V231" i="1" s="1"/>
  <c r="O230" i="1" l="1"/>
  <c r="P230" i="1" s="1"/>
  <c r="W231" i="1"/>
  <c r="Y231" i="1" l="1"/>
  <c r="X231" i="1"/>
  <c r="Q230" i="1"/>
  <c r="S230" i="1" s="1"/>
  <c r="AA231" i="1" l="1"/>
  <c r="R230" i="1" l="1"/>
  <c r="N231" i="1" s="1"/>
  <c r="Z231" i="1" s="1"/>
  <c r="V232" i="1" s="1"/>
  <c r="O231" i="1" l="1"/>
  <c r="P231" i="1" s="1"/>
  <c r="W232" i="1"/>
  <c r="Y232" i="1" l="1"/>
  <c r="X232" i="1"/>
  <c r="Q231" i="1"/>
  <c r="S231" i="1" s="1"/>
  <c r="AA232" i="1" l="1"/>
  <c r="R231" i="1" l="1"/>
  <c r="N232" i="1" s="1"/>
  <c r="Z232" i="1" s="1"/>
  <c r="V233" i="1" s="1"/>
  <c r="O232" i="1" l="1"/>
  <c r="P232" i="1" s="1"/>
  <c r="W233" i="1"/>
  <c r="Y233" i="1" l="1"/>
  <c r="X233" i="1"/>
  <c r="Q232" i="1"/>
  <c r="S232" i="1" s="1"/>
  <c r="AA233" i="1" l="1"/>
  <c r="R232" i="1" l="1"/>
  <c r="N233" i="1" s="1"/>
  <c r="Z233" i="1" s="1"/>
  <c r="V234" i="1" s="1"/>
  <c r="O233" i="1" l="1"/>
  <c r="P233" i="1" s="1"/>
  <c r="W234" i="1"/>
  <c r="Y234" i="1" l="1"/>
  <c r="X234" i="1"/>
  <c r="Q233" i="1"/>
  <c r="S233" i="1" s="1"/>
  <c r="AA234" i="1" l="1"/>
  <c r="R233" i="1" l="1"/>
  <c r="N234" i="1" s="1"/>
  <c r="Z234" i="1" s="1"/>
  <c r="V235" i="1" s="1"/>
  <c r="O234" i="1" l="1"/>
  <c r="P234" i="1" s="1"/>
  <c r="W235" i="1"/>
  <c r="Y235" i="1" l="1"/>
  <c r="X235" i="1"/>
  <c r="Q234" i="1"/>
  <c r="S234" i="1" s="1"/>
  <c r="AA235" i="1" l="1"/>
  <c r="R234" i="1" l="1"/>
  <c r="N235" i="1" s="1"/>
  <c r="Z235" i="1" s="1"/>
  <c r="V236" i="1" s="1"/>
  <c r="O235" i="1" l="1"/>
  <c r="P235" i="1" s="1"/>
  <c r="W236" i="1"/>
  <c r="Y236" i="1" l="1"/>
  <c r="X236" i="1"/>
  <c r="Q235" i="1"/>
  <c r="S235" i="1" s="1"/>
  <c r="AA236" i="1" l="1"/>
  <c r="R235" i="1" l="1"/>
  <c r="N236" i="1" s="1"/>
  <c r="Z236" i="1" s="1"/>
  <c r="V237" i="1" s="1"/>
  <c r="O236" i="1" l="1"/>
  <c r="P236" i="1" s="1"/>
  <c r="W237" i="1"/>
  <c r="Y237" i="1" l="1"/>
  <c r="X237" i="1"/>
  <c r="Q236" i="1"/>
  <c r="S236" i="1" s="1"/>
  <c r="AA237" i="1" l="1"/>
  <c r="R236" i="1" l="1"/>
  <c r="N237" i="1" s="1"/>
  <c r="Z237" i="1" s="1"/>
  <c r="V238" i="1" s="1"/>
  <c r="O237" i="1" l="1"/>
  <c r="P237" i="1" s="1"/>
  <c r="W238" i="1"/>
  <c r="Y238" i="1" l="1"/>
  <c r="X238" i="1"/>
  <c r="Q237" i="1"/>
  <c r="S237" i="1" s="1"/>
  <c r="AA238" i="1" l="1"/>
  <c r="R237" i="1" l="1"/>
  <c r="N238" i="1" s="1"/>
  <c r="Z238" i="1" s="1"/>
  <c r="V239" i="1" s="1"/>
  <c r="O238" i="1" l="1"/>
  <c r="P238" i="1" s="1"/>
  <c r="W239" i="1"/>
  <c r="Y239" i="1" l="1"/>
  <c r="X239" i="1"/>
  <c r="Q238" i="1"/>
  <c r="S238" i="1" s="1"/>
  <c r="AA239" i="1" l="1"/>
  <c r="R238" i="1" l="1"/>
  <c r="N239" i="1" s="1"/>
  <c r="Z239" i="1" s="1"/>
  <c r="V240" i="1" s="1"/>
  <c r="O239" i="1" l="1"/>
  <c r="P239" i="1" s="1"/>
  <c r="W240" i="1"/>
  <c r="Y240" i="1" l="1"/>
  <c r="X240" i="1"/>
  <c r="Q239" i="1"/>
  <c r="S239" i="1" s="1"/>
  <c r="AA240" i="1" l="1"/>
  <c r="R239" i="1" l="1"/>
  <c r="N240" i="1" s="1"/>
  <c r="Z240" i="1" s="1"/>
  <c r="V241" i="1" s="1"/>
  <c r="O240" i="1" l="1"/>
  <c r="P240" i="1" s="1"/>
  <c r="W241" i="1"/>
  <c r="Y241" i="1" l="1"/>
  <c r="X241" i="1"/>
  <c r="Q240" i="1"/>
  <c r="S240" i="1" s="1"/>
  <c r="AA241" i="1" l="1"/>
  <c r="R240" i="1" l="1"/>
  <c r="N241" i="1" s="1"/>
  <c r="Z241" i="1" s="1"/>
  <c r="V242" i="1" s="1"/>
  <c r="O241" i="1" l="1"/>
  <c r="P241" i="1" s="1"/>
  <c r="W242" i="1"/>
  <c r="Y242" i="1" l="1"/>
  <c r="X242" i="1"/>
  <c r="Q241" i="1"/>
  <c r="S241" i="1" s="1"/>
  <c r="AA242" i="1" l="1"/>
  <c r="R241" i="1" l="1"/>
  <c r="N242" i="1" s="1"/>
  <c r="Z242" i="1" s="1"/>
  <c r="V243" i="1" s="1"/>
  <c r="O242" i="1" l="1"/>
  <c r="P242" i="1" s="1"/>
  <c r="W243" i="1"/>
  <c r="Y243" i="1" l="1"/>
  <c r="X243" i="1"/>
  <c r="Q242" i="1"/>
  <c r="S242" i="1" l="1"/>
  <c r="AA243" i="1"/>
  <c r="R242" i="1" l="1"/>
  <c r="N243" i="1" s="1"/>
  <c r="Z243" i="1" s="1"/>
  <c r="V244" i="1" s="1"/>
  <c r="O243" i="1" l="1"/>
  <c r="P243" i="1" s="1"/>
  <c r="W244" i="1"/>
  <c r="Y244" i="1" l="1"/>
  <c r="X244" i="1"/>
  <c r="Q243" i="1"/>
  <c r="S243" i="1" s="1"/>
  <c r="AA244" i="1" l="1"/>
  <c r="R243" i="1" l="1"/>
  <c r="N244" i="1" s="1"/>
  <c r="Z244" i="1" l="1"/>
  <c r="V245" i="1" s="1"/>
  <c r="W245" i="1" s="1"/>
  <c r="O244" i="1"/>
  <c r="P244" i="1" s="1"/>
  <c r="Y245" i="1" l="1"/>
  <c r="X245" i="1"/>
  <c r="Q244" i="1"/>
  <c r="S244" i="1" s="1"/>
  <c r="AA245" i="1" l="1"/>
  <c r="R244" i="1" l="1"/>
  <c r="N245" i="1" s="1"/>
  <c r="Z245" i="1" s="1"/>
  <c r="V246" i="1" s="1"/>
  <c r="O245" i="1" l="1"/>
  <c r="P245" i="1" s="1"/>
  <c r="W246" i="1"/>
  <c r="Y246" i="1" l="1"/>
  <c r="X246" i="1"/>
  <c r="Q245" i="1"/>
  <c r="S245" i="1" s="1"/>
  <c r="AA246" i="1" l="1"/>
  <c r="R245" i="1" l="1"/>
  <c r="N246" i="1" s="1"/>
  <c r="Z246" i="1" s="1"/>
  <c r="V247" i="1" s="1"/>
  <c r="O246" i="1" l="1"/>
  <c r="P246" i="1" s="1"/>
  <c r="W247" i="1"/>
  <c r="Y247" i="1" l="1"/>
  <c r="X247" i="1"/>
  <c r="Q246" i="1"/>
  <c r="S246" i="1" s="1"/>
  <c r="AA247" i="1" l="1"/>
  <c r="R246" i="1" l="1"/>
  <c r="N247" i="1" s="1"/>
  <c r="Z247" i="1" s="1"/>
  <c r="V248" i="1" s="1"/>
  <c r="O247" i="1" l="1"/>
  <c r="P247" i="1" s="1"/>
  <c r="W248" i="1"/>
  <c r="Y248" i="1" l="1"/>
  <c r="X248" i="1"/>
  <c r="Q247" i="1"/>
  <c r="S247" i="1" s="1"/>
  <c r="AA248" i="1" l="1"/>
  <c r="R247" i="1" l="1"/>
  <c r="N248" i="1" s="1"/>
  <c r="Z248" i="1" s="1"/>
  <c r="V249" i="1" s="1"/>
  <c r="O248" i="1" l="1"/>
  <c r="P248" i="1" s="1"/>
  <c r="W249" i="1"/>
  <c r="Y249" i="1" l="1"/>
  <c r="X249" i="1"/>
  <c r="Q248" i="1"/>
  <c r="S248" i="1" s="1"/>
  <c r="AA249" i="1" l="1"/>
  <c r="R248" i="1" l="1"/>
  <c r="N249" i="1" s="1"/>
  <c r="Z249" i="1" s="1"/>
  <c r="V250" i="1" s="1"/>
  <c r="O249" i="1" l="1"/>
  <c r="P249" i="1" s="1"/>
  <c r="W250" i="1"/>
  <c r="Y250" i="1" l="1"/>
  <c r="X250" i="1"/>
  <c r="Q249" i="1"/>
  <c r="S249" i="1" s="1"/>
  <c r="AA250" i="1" l="1"/>
  <c r="R249" i="1" l="1"/>
  <c r="N250" i="1" s="1"/>
  <c r="Z250" i="1" s="1"/>
  <c r="V251" i="1" s="1"/>
  <c r="O250" i="1" l="1"/>
  <c r="P250" i="1" s="1"/>
  <c r="W251" i="1"/>
  <c r="Y251" i="1" l="1"/>
  <c r="X251" i="1"/>
  <c r="Q250" i="1"/>
  <c r="S250" i="1" s="1"/>
  <c r="AA251" i="1" l="1"/>
  <c r="R250" i="1" l="1"/>
  <c r="N251" i="1" s="1"/>
  <c r="Z251" i="1" s="1"/>
  <c r="V252" i="1" s="1"/>
  <c r="O251" i="1" l="1"/>
  <c r="P251" i="1" s="1"/>
  <c r="W252" i="1"/>
  <c r="Y252" i="1" l="1"/>
  <c r="X252" i="1"/>
  <c r="Q251" i="1"/>
  <c r="S251" i="1" s="1"/>
  <c r="AA252" i="1" l="1"/>
  <c r="R251" i="1" l="1"/>
  <c r="N252" i="1" s="1"/>
  <c r="Z252" i="1" s="1"/>
  <c r="V253" i="1" s="1"/>
  <c r="O252" i="1" l="1"/>
  <c r="P252" i="1" s="1"/>
  <c r="W253" i="1"/>
  <c r="Y253" i="1" l="1"/>
  <c r="X253" i="1"/>
  <c r="Q252" i="1"/>
  <c r="S252" i="1" s="1"/>
  <c r="AA253" i="1" l="1"/>
  <c r="R252" i="1" l="1"/>
  <c r="N253" i="1" s="1"/>
  <c r="Z253" i="1" s="1"/>
  <c r="V254" i="1" s="1"/>
  <c r="O253" i="1" l="1"/>
  <c r="P253" i="1" s="1"/>
  <c r="W254" i="1"/>
  <c r="Y254" i="1" l="1"/>
  <c r="X254" i="1"/>
  <c r="Q253" i="1"/>
  <c r="S253" i="1" s="1"/>
  <c r="AA254" i="1" l="1"/>
  <c r="R253" i="1" l="1"/>
  <c r="N254" i="1" s="1"/>
  <c r="Z254" i="1" s="1"/>
  <c r="V255" i="1" s="1"/>
  <c r="O254" i="1" l="1"/>
  <c r="P254" i="1" s="1"/>
  <c r="W255" i="1"/>
  <c r="Y255" i="1" l="1"/>
  <c r="X255" i="1"/>
  <c r="Q254" i="1"/>
  <c r="S254" i="1" s="1"/>
  <c r="AA255" i="1" l="1"/>
  <c r="R254" i="1" l="1"/>
  <c r="N255" i="1" s="1"/>
  <c r="Z255" i="1" s="1"/>
  <c r="V256" i="1" s="1"/>
  <c r="O255" i="1" l="1"/>
  <c r="P255" i="1" s="1"/>
  <c r="W256" i="1"/>
  <c r="Y256" i="1" l="1"/>
  <c r="X256" i="1"/>
  <c r="Q255" i="1"/>
  <c r="S255" i="1" s="1"/>
  <c r="AA256" i="1" l="1"/>
  <c r="R255" i="1" l="1"/>
  <c r="N256" i="1" s="1"/>
  <c r="Z256" i="1" s="1"/>
  <c r="V257" i="1" s="1"/>
  <c r="O256" i="1" l="1"/>
  <c r="P256" i="1" s="1"/>
  <c r="W257" i="1"/>
  <c r="Y257" i="1" l="1"/>
  <c r="X257" i="1"/>
  <c r="Q256" i="1"/>
  <c r="S256" i="1" s="1"/>
  <c r="AA257" i="1" l="1"/>
  <c r="R256" i="1" l="1"/>
  <c r="N257" i="1" s="1"/>
  <c r="Z257" i="1" s="1"/>
  <c r="V258" i="1" s="1"/>
  <c r="O257" i="1" l="1"/>
  <c r="P257" i="1" s="1"/>
  <c r="W258" i="1"/>
  <c r="Y258" i="1" l="1"/>
  <c r="X258" i="1"/>
  <c r="Q257" i="1"/>
  <c r="S257" i="1" s="1"/>
  <c r="AA258" i="1" l="1"/>
  <c r="R257" i="1" l="1"/>
  <c r="N258" i="1" s="1"/>
  <c r="Z258" i="1" s="1"/>
  <c r="V259" i="1" s="1"/>
  <c r="O258" i="1" l="1"/>
  <c r="P258" i="1" s="1"/>
  <c r="W259" i="1"/>
  <c r="Y259" i="1" l="1"/>
  <c r="X259" i="1"/>
  <c r="Q258" i="1"/>
  <c r="S258" i="1" s="1"/>
  <c r="AA259" i="1" l="1"/>
  <c r="R258" i="1" l="1"/>
  <c r="N259" i="1" s="1"/>
  <c r="Z259" i="1" s="1"/>
  <c r="V260" i="1" s="1"/>
  <c r="O259" i="1" l="1"/>
  <c r="P259" i="1" s="1"/>
  <c r="W260" i="1"/>
  <c r="Y260" i="1" l="1"/>
  <c r="X260" i="1"/>
  <c r="Q259" i="1"/>
  <c r="S259" i="1" s="1"/>
  <c r="AA260" i="1" l="1"/>
  <c r="R259" i="1" l="1"/>
  <c r="N260" i="1" s="1"/>
  <c r="Z260" i="1" s="1"/>
  <c r="V261" i="1" s="1"/>
  <c r="O260" i="1" l="1"/>
  <c r="P260" i="1" s="1"/>
  <c r="W261" i="1"/>
  <c r="Y261" i="1" l="1"/>
  <c r="X261" i="1"/>
  <c r="Q260" i="1"/>
  <c r="S260" i="1" s="1"/>
  <c r="AA261" i="1" l="1"/>
  <c r="R260" i="1" l="1"/>
  <c r="N261" i="1" s="1"/>
  <c r="Z261" i="1" s="1"/>
  <c r="V262" i="1" s="1"/>
  <c r="O261" i="1" l="1"/>
  <c r="P261" i="1" s="1"/>
  <c r="W262" i="1"/>
  <c r="Y262" i="1" l="1"/>
  <c r="X262" i="1"/>
  <c r="Q261" i="1"/>
  <c r="S261" i="1" s="1"/>
  <c r="AA262" i="1" l="1"/>
  <c r="R261" i="1" l="1"/>
  <c r="N262" i="1" s="1"/>
  <c r="Z262" i="1" s="1"/>
  <c r="V263" i="1" s="1"/>
  <c r="O262" i="1" l="1"/>
  <c r="P262" i="1" s="1"/>
  <c r="W263" i="1"/>
  <c r="Y263" i="1" l="1"/>
  <c r="X263" i="1"/>
  <c r="Q262" i="1"/>
  <c r="S262" i="1" s="1"/>
  <c r="AA263" i="1" l="1"/>
  <c r="R262" i="1" l="1"/>
  <c r="N263" i="1" s="1"/>
  <c r="Z263" i="1" s="1"/>
  <c r="V264" i="1" s="1"/>
  <c r="O263" i="1" l="1"/>
  <c r="P263" i="1" s="1"/>
  <c r="W264" i="1"/>
  <c r="Y264" i="1" l="1"/>
  <c r="X264" i="1"/>
  <c r="Q263" i="1"/>
  <c r="S263" i="1" s="1"/>
  <c r="AA264" i="1" l="1"/>
  <c r="R263" i="1" l="1"/>
  <c r="N264" i="1" s="1"/>
  <c r="Z264" i="1" s="1"/>
  <c r="V265" i="1" s="1"/>
  <c r="O264" i="1" l="1"/>
  <c r="P264" i="1" s="1"/>
  <c r="W265" i="1"/>
  <c r="Y265" i="1" l="1"/>
  <c r="X265" i="1"/>
  <c r="Q264" i="1"/>
  <c r="S264" i="1" s="1"/>
  <c r="AA265" i="1" l="1"/>
  <c r="R264" i="1" l="1"/>
  <c r="N265" i="1" s="1"/>
  <c r="Z265" i="1" s="1"/>
  <c r="V266" i="1" s="1"/>
  <c r="O265" i="1" l="1"/>
  <c r="P265" i="1" s="1"/>
  <c r="W266" i="1"/>
  <c r="Y266" i="1" l="1"/>
  <c r="X266" i="1"/>
  <c r="Q265" i="1"/>
  <c r="S265" i="1" s="1"/>
  <c r="AA266" i="1" l="1"/>
  <c r="R265" i="1" l="1"/>
  <c r="N266" i="1" s="1"/>
  <c r="Z266" i="1" s="1"/>
  <c r="V267" i="1" s="1"/>
  <c r="O266" i="1" l="1"/>
  <c r="P266" i="1" s="1"/>
  <c r="W267" i="1"/>
  <c r="Y267" i="1" l="1"/>
  <c r="X267" i="1"/>
  <c r="Q266" i="1"/>
  <c r="S266" i="1" s="1"/>
  <c r="AA267" i="1" l="1"/>
  <c r="R266" i="1" l="1"/>
  <c r="N267" i="1" s="1"/>
  <c r="Z267" i="1" s="1"/>
  <c r="V268" i="1" s="1"/>
  <c r="O267" i="1" l="1"/>
  <c r="P267" i="1" s="1"/>
  <c r="W268" i="1"/>
  <c r="Y268" i="1" l="1"/>
  <c r="X268" i="1"/>
  <c r="Q267" i="1"/>
  <c r="S267" i="1" s="1"/>
  <c r="AA268" i="1" l="1"/>
  <c r="R267" i="1" l="1"/>
  <c r="N268" i="1" s="1"/>
  <c r="Z268" i="1" s="1"/>
  <c r="V269" i="1" s="1"/>
  <c r="O268" i="1" l="1"/>
  <c r="P268" i="1" s="1"/>
  <c r="W269" i="1"/>
  <c r="Y269" i="1" l="1"/>
  <c r="X269" i="1"/>
  <c r="Q268" i="1"/>
  <c r="S268" i="1" s="1"/>
  <c r="AA269" i="1" l="1"/>
  <c r="R268" i="1" l="1"/>
  <c r="N269" i="1" s="1"/>
  <c r="Z269" i="1" s="1"/>
  <c r="V270" i="1" s="1"/>
  <c r="O269" i="1" l="1"/>
  <c r="P269" i="1" s="1"/>
  <c r="W270" i="1"/>
  <c r="Y270" i="1" l="1"/>
  <c r="X270" i="1"/>
  <c r="Q269" i="1"/>
  <c r="S269" i="1" s="1"/>
  <c r="AA270" i="1" l="1"/>
  <c r="R269" i="1" l="1"/>
  <c r="N270" i="1" s="1"/>
  <c r="Z270" i="1" s="1"/>
  <c r="V271" i="1" s="1"/>
  <c r="O270" i="1" l="1"/>
  <c r="P270" i="1" s="1"/>
  <c r="W271" i="1"/>
  <c r="Y271" i="1" l="1"/>
  <c r="X271" i="1"/>
  <c r="Q270" i="1"/>
  <c r="S270" i="1" s="1"/>
  <c r="AA271" i="1" l="1"/>
  <c r="R270" i="1" l="1"/>
  <c r="N271" i="1" s="1"/>
  <c r="Z271" i="1" s="1"/>
  <c r="V272" i="1" s="1"/>
  <c r="O271" i="1" l="1"/>
  <c r="P271" i="1" s="1"/>
  <c r="W272" i="1"/>
  <c r="Y272" i="1" l="1"/>
  <c r="X272" i="1"/>
  <c r="Q271" i="1"/>
  <c r="S271" i="1" s="1"/>
  <c r="AA272" i="1" l="1"/>
  <c r="R271" i="1" l="1"/>
  <c r="N272" i="1" s="1"/>
  <c r="Z272" i="1" s="1"/>
  <c r="V273" i="1" s="1"/>
  <c r="O272" i="1" l="1"/>
  <c r="P272" i="1" s="1"/>
  <c r="W273" i="1"/>
  <c r="Y273" i="1" l="1"/>
  <c r="X273" i="1"/>
  <c r="Q272" i="1"/>
  <c r="S272" i="1" s="1"/>
  <c r="AA273" i="1" l="1"/>
  <c r="R272" i="1" l="1"/>
  <c r="N273" i="1" s="1"/>
  <c r="Z273" i="1" s="1"/>
  <c r="V274" i="1" s="1"/>
  <c r="O273" i="1" l="1"/>
  <c r="P273" i="1" s="1"/>
  <c r="W274" i="1"/>
  <c r="Y274" i="1" l="1"/>
  <c r="X274" i="1"/>
  <c r="Q273" i="1"/>
  <c r="S273" i="1" s="1"/>
  <c r="AA274" i="1" l="1"/>
  <c r="R273" i="1" l="1"/>
  <c r="N274" i="1" s="1"/>
  <c r="Z274" i="1" s="1"/>
  <c r="V275" i="1" s="1"/>
  <c r="O274" i="1" l="1"/>
  <c r="P274" i="1" s="1"/>
  <c r="W275" i="1"/>
  <c r="Y275" i="1" l="1"/>
  <c r="X275" i="1"/>
  <c r="Q274" i="1"/>
  <c r="S274" i="1" s="1"/>
  <c r="AA275" i="1" l="1"/>
  <c r="R274" i="1" l="1"/>
  <c r="N275" i="1" s="1"/>
  <c r="Z275" i="1" s="1"/>
  <c r="V276" i="1" s="1"/>
  <c r="O275" i="1" l="1"/>
  <c r="P275" i="1" s="1"/>
  <c r="W276" i="1"/>
  <c r="Y276" i="1" l="1"/>
  <c r="X276" i="1"/>
  <c r="Q275" i="1"/>
  <c r="S275" i="1" s="1"/>
  <c r="AA276" i="1" l="1"/>
  <c r="R275" i="1" l="1"/>
  <c r="N276" i="1" s="1"/>
  <c r="Z276" i="1" s="1"/>
  <c r="V277" i="1" s="1"/>
  <c r="O276" i="1" l="1"/>
  <c r="P276" i="1" s="1"/>
  <c r="W277" i="1"/>
  <c r="Y277" i="1" l="1"/>
  <c r="X277" i="1"/>
  <c r="Q276" i="1"/>
  <c r="S276" i="1" s="1"/>
  <c r="AA277" i="1" l="1"/>
  <c r="R276" i="1" l="1"/>
  <c r="N277" i="1" s="1"/>
  <c r="Z277" i="1" s="1"/>
  <c r="V278" i="1" s="1"/>
  <c r="O277" i="1" l="1"/>
  <c r="P277" i="1" s="1"/>
  <c r="W278" i="1"/>
  <c r="Y278" i="1" l="1"/>
  <c r="X278" i="1"/>
  <c r="Q277" i="1"/>
  <c r="S277" i="1" s="1"/>
  <c r="AA278" i="1" l="1"/>
  <c r="R277" i="1" l="1"/>
  <c r="N278" i="1" s="1"/>
  <c r="Z278" i="1" s="1"/>
  <c r="V279" i="1" s="1"/>
  <c r="O278" i="1" l="1"/>
  <c r="P278" i="1" s="1"/>
  <c r="W279" i="1"/>
  <c r="Y279" i="1" l="1"/>
  <c r="X279" i="1"/>
  <c r="Q278" i="1"/>
  <c r="S278" i="1" s="1"/>
  <c r="AA279" i="1" l="1"/>
  <c r="R278" i="1" l="1"/>
  <c r="N279" i="1" s="1"/>
  <c r="Z279" i="1" s="1"/>
  <c r="V280" i="1" s="1"/>
  <c r="O279" i="1" l="1"/>
  <c r="P279" i="1" s="1"/>
  <c r="W280" i="1"/>
  <c r="Y280" i="1" l="1"/>
  <c r="X280" i="1"/>
  <c r="Q279" i="1"/>
  <c r="S279" i="1" s="1"/>
  <c r="AA280" i="1" l="1"/>
  <c r="R279" i="1" l="1"/>
  <c r="N280" i="1" s="1"/>
  <c r="Z280" i="1" s="1"/>
  <c r="V281" i="1" s="1"/>
  <c r="O280" i="1" l="1"/>
  <c r="P280" i="1" s="1"/>
  <c r="W281" i="1"/>
  <c r="Y281" i="1" l="1"/>
  <c r="X281" i="1"/>
  <c r="Q280" i="1"/>
  <c r="S280" i="1" s="1"/>
  <c r="AA281" i="1" l="1"/>
  <c r="R280" i="1" l="1"/>
  <c r="N281" i="1" s="1"/>
  <c r="Z281" i="1" s="1"/>
  <c r="V282" i="1" s="1"/>
  <c r="O281" i="1" l="1"/>
  <c r="P281" i="1" s="1"/>
  <c r="W282" i="1"/>
  <c r="Y282" i="1" l="1"/>
  <c r="X282" i="1"/>
  <c r="Q281" i="1"/>
  <c r="S281" i="1" s="1"/>
  <c r="AA282" i="1" l="1"/>
  <c r="R281" i="1" l="1"/>
  <c r="N282" i="1" s="1"/>
  <c r="Z282" i="1" s="1"/>
  <c r="V283" i="1" s="1"/>
  <c r="O282" i="1" l="1"/>
  <c r="P282" i="1" s="1"/>
  <c r="W283" i="1"/>
  <c r="Y283" i="1" l="1"/>
  <c r="X283" i="1"/>
  <c r="Q282" i="1"/>
  <c r="S282" i="1" s="1"/>
  <c r="AA283" i="1" l="1"/>
  <c r="R282" i="1" l="1"/>
  <c r="N283" i="1" s="1"/>
  <c r="Z283" i="1" s="1"/>
  <c r="V284" i="1" s="1"/>
  <c r="O283" i="1" l="1"/>
  <c r="P283" i="1" s="1"/>
  <c r="W284" i="1"/>
  <c r="Y284" i="1" l="1"/>
  <c r="X284" i="1"/>
  <c r="Q283" i="1"/>
  <c r="S283" i="1" s="1"/>
  <c r="AA284" i="1" l="1"/>
  <c r="R283" i="1" l="1"/>
  <c r="N284" i="1" s="1"/>
  <c r="Z284" i="1" s="1"/>
  <c r="V285" i="1" s="1"/>
  <c r="O284" i="1" l="1"/>
  <c r="P284" i="1" s="1"/>
  <c r="W285" i="1"/>
  <c r="Y285" i="1" l="1"/>
  <c r="X285" i="1"/>
  <c r="Q284" i="1"/>
  <c r="S284" i="1" s="1"/>
  <c r="AA285" i="1" l="1"/>
  <c r="R284" i="1" l="1"/>
  <c r="N285" i="1" s="1"/>
  <c r="Z285" i="1" s="1"/>
  <c r="V286" i="1" s="1"/>
  <c r="O285" i="1" l="1"/>
  <c r="P285" i="1" s="1"/>
  <c r="W286" i="1"/>
  <c r="Y286" i="1" l="1"/>
  <c r="X286" i="1"/>
  <c r="Q285" i="1"/>
  <c r="S285" i="1" s="1"/>
  <c r="AA286" i="1" l="1"/>
  <c r="R285" i="1" l="1"/>
  <c r="N286" i="1" s="1"/>
  <c r="Z286" i="1" s="1"/>
  <c r="V287" i="1" s="1"/>
  <c r="O286" i="1" l="1"/>
  <c r="P286" i="1" s="1"/>
  <c r="W287" i="1"/>
  <c r="Y287" i="1" l="1"/>
  <c r="X287" i="1"/>
  <c r="Q286" i="1"/>
  <c r="S286" i="1" s="1"/>
  <c r="AA287" i="1" l="1"/>
  <c r="R286" i="1" l="1"/>
  <c r="N287" i="1" s="1"/>
  <c r="Z287" i="1" s="1"/>
  <c r="V288" i="1" s="1"/>
  <c r="O287" i="1" l="1"/>
  <c r="P287" i="1" s="1"/>
  <c r="W288" i="1"/>
  <c r="Y288" i="1" l="1"/>
  <c r="X288" i="1"/>
  <c r="Q287" i="1"/>
  <c r="S287" i="1" s="1"/>
  <c r="AA288" i="1" l="1"/>
  <c r="R287" i="1" l="1"/>
  <c r="N288" i="1" s="1"/>
  <c r="Z288" i="1" s="1"/>
  <c r="V289" i="1" s="1"/>
  <c r="O288" i="1" l="1"/>
  <c r="P288" i="1" s="1"/>
  <c r="W289" i="1"/>
  <c r="Y289" i="1" l="1"/>
  <c r="X289" i="1"/>
  <c r="Q288" i="1"/>
  <c r="S288" i="1" s="1"/>
  <c r="AA289" i="1" l="1"/>
  <c r="R288" i="1" l="1"/>
  <c r="N289" i="1" s="1"/>
  <c r="Z289" i="1" s="1"/>
  <c r="V290" i="1" s="1"/>
  <c r="O289" i="1" l="1"/>
  <c r="P289" i="1" s="1"/>
  <c r="W290" i="1"/>
  <c r="Y290" i="1" l="1"/>
  <c r="X290" i="1"/>
  <c r="Q289" i="1"/>
  <c r="S289" i="1" s="1"/>
  <c r="AA290" i="1" l="1"/>
  <c r="R289" i="1" l="1"/>
  <c r="N290" i="1" s="1"/>
  <c r="Z290" i="1" s="1"/>
  <c r="V291" i="1" s="1"/>
  <c r="O290" i="1" l="1"/>
  <c r="P290" i="1" s="1"/>
  <c r="W291" i="1"/>
  <c r="Y291" i="1" l="1"/>
  <c r="X291" i="1"/>
  <c r="Q290" i="1"/>
  <c r="S290" i="1" s="1"/>
  <c r="AA291" i="1" l="1"/>
  <c r="R290" i="1" l="1"/>
  <c r="N291" i="1" s="1"/>
  <c r="Z291" i="1" s="1"/>
  <c r="V292" i="1" s="1"/>
  <c r="O291" i="1" l="1"/>
  <c r="P291" i="1" s="1"/>
  <c r="W292" i="1"/>
  <c r="Y292" i="1" l="1"/>
  <c r="X292" i="1"/>
  <c r="Q291" i="1"/>
  <c r="S291" i="1" s="1"/>
  <c r="AA292" i="1" l="1"/>
  <c r="R291" i="1"/>
  <c r="N292" i="1" s="1"/>
  <c r="Z292" i="1" s="1"/>
  <c r="V293" i="1" s="1"/>
  <c r="O292" i="1" l="1"/>
  <c r="P292" i="1" s="1"/>
  <c r="W293" i="1"/>
  <c r="Y293" i="1" l="1"/>
  <c r="X293" i="1"/>
  <c r="Q292" i="1"/>
  <c r="S292" i="1" s="1"/>
  <c r="AA293" i="1" l="1"/>
  <c r="R292" i="1" l="1"/>
  <c r="N293" i="1" s="1"/>
  <c r="Z293" i="1" s="1"/>
  <c r="V294" i="1" s="1"/>
  <c r="O293" i="1" l="1"/>
  <c r="P293" i="1" s="1"/>
  <c r="W294" i="1"/>
  <c r="Y294" i="1" l="1"/>
  <c r="X294" i="1"/>
  <c r="Q293" i="1"/>
  <c r="S293" i="1" s="1"/>
  <c r="AA294" i="1" l="1"/>
  <c r="R293" i="1" l="1"/>
  <c r="N294" i="1" s="1"/>
  <c r="Z294" i="1" s="1"/>
  <c r="V295" i="1" s="1"/>
  <c r="O294" i="1" l="1"/>
  <c r="P294" i="1" s="1"/>
  <c r="W295" i="1"/>
  <c r="Y295" i="1" l="1"/>
  <c r="X295" i="1"/>
  <c r="Q294" i="1"/>
  <c r="S294" i="1" s="1"/>
  <c r="AA295" i="1" l="1"/>
  <c r="R294" i="1" l="1"/>
  <c r="N295" i="1" s="1"/>
  <c r="Z295" i="1" s="1"/>
  <c r="V296" i="1" s="1"/>
  <c r="O295" i="1" l="1"/>
  <c r="P295" i="1" s="1"/>
  <c r="W296" i="1"/>
  <c r="Y296" i="1" l="1"/>
  <c r="X296" i="1"/>
  <c r="Q295" i="1"/>
  <c r="S295" i="1" s="1"/>
  <c r="AA296" i="1" l="1"/>
  <c r="R295" i="1" l="1"/>
  <c r="N296" i="1" s="1"/>
  <c r="Z296" i="1" s="1"/>
  <c r="V297" i="1" s="1"/>
  <c r="O296" i="1" l="1"/>
  <c r="P296" i="1" s="1"/>
  <c r="W297" i="1"/>
  <c r="Y297" i="1" l="1"/>
  <c r="X297" i="1"/>
  <c r="Q296" i="1"/>
  <c r="S296" i="1" s="1"/>
  <c r="AA297" i="1" l="1"/>
  <c r="R296" i="1" l="1"/>
  <c r="N297" i="1" s="1"/>
  <c r="Z297" i="1" s="1"/>
  <c r="V298" i="1" s="1"/>
  <c r="O297" i="1" l="1"/>
  <c r="P297" i="1" s="1"/>
  <c r="W298" i="1"/>
  <c r="Y298" i="1" l="1"/>
  <c r="X298" i="1"/>
  <c r="Q297" i="1"/>
  <c r="S297" i="1" s="1"/>
  <c r="AA298" i="1" l="1"/>
  <c r="R297" i="1" l="1"/>
  <c r="N298" i="1" s="1"/>
  <c r="Z298" i="1" s="1"/>
  <c r="V299" i="1" s="1"/>
  <c r="O298" i="1" l="1"/>
  <c r="P298" i="1" s="1"/>
  <c r="W299" i="1"/>
  <c r="Y299" i="1" l="1"/>
  <c r="X299" i="1"/>
  <c r="Q298" i="1"/>
  <c r="S298" i="1" s="1"/>
  <c r="AA299" i="1" l="1"/>
  <c r="R298" i="1" l="1"/>
  <c r="N299" i="1" s="1"/>
  <c r="Z299" i="1" s="1"/>
  <c r="V300" i="1" s="1"/>
  <c r="O299" i="1" l="1"/>
  <c r="P299" i="1" s="1"/>
  <c r="W300" i="1"/>
  <c r="Y300" i="1" l="1"/>
  <c r="X300" i="1"/>
  <c r="Q299" i="1"/>
  <c r="S299" i="1" s="1"/>
  <c r="AA300" i="1" l="1"/>
  <c r="R299" i="1" l="1"/>
  <c r="N300" i="1" s="1"/>
  <c r="Z300" i="1" s="1"/>
  <c r="V301" i="1" s="1"/>
  <c r="O300" i="1" l="1"/>
  <c r="P300" i="1" s="1"/>
  <c r="W301" i="1"/>
  <c r="Y301" i="1" l="1"/>
  <c r="X301" i="1"/>
  <c r="Q300" i="1"/>
  <c r="S300" i="1" s="1"/>
  <c r="AA301" i="1" l="1"/>
  <c r="R300" i="1" l="1"/>
  <c r="N301" i="1" s="1"/>
  <c r="Z301" i="1" s="1"/>
  <c r="V302" i="1" s="1"/>
  <c r="O301" i="1" l="1"/>
  <c r="P301" i="1" s="1"/>
  <c r="W302" i="1"/>
  <c r="Y302" i="1" l="1"/>
  <c r="X302" i="1"/>
  <c r="Q301" i="1"/>
  <c r="S301" i="1" s="1"/>
  <c r="AA302" i="1" l="1"/>
  <c r="R301" i="1" l="1"/>
  <c r="N302" i="1" s="1"/>
  <c r="Z302" i="1" s="1"/>
  <c r="V303" i="1" s="1"/>
  <c r="O302" i="1" l="1"/>
  <c r="P302" i="1" s="1"/>
  <c r="W303" i="1"/>
  <c r="Y303" i="1" l="1"/>
  <c r="X303" i="1"/>
  <c r="Q302" i="1"/>
  <c r="S302" i="1" s="1"/>
  <c r="AA303" i="1" l="1"/>
  <c r="R302" i="1" l="1"/>
  <c r="N303" i="1" s="1"/>
  <c r="Z303" i="1" s="1"/>
  <c r="V304" i="1" s="1"/>
  <c r="O303" i="1" l="1"/>
  <c r="P303" i="1" s="1"/>
  <c r="W304" i="1"/>
  <c r="Y304" i="1" l="1"/>
  <c r="X304" i="1"/>
  <c r="Q303" i="1"/>
  <c r="S303" i="1" s="1"/>
  <c r="AA304" i="1" l="1"/>
  <c r="R303" i="1" l="1"/>
  <c r="N304" i="1" s="1"/>
  <c r="Z304" i="1" s="1"/>
  <c r="V305" i="1" s="1"/>
  <c r="O304" i="1" l="1"/>
  <c r="P304" i="1" s="1"/>
  <c r="W305" i="1"/>
  <c r="Y305" i="1" l="1"/>
  <c r="X305" i="1"/>
  <c r="Q304" i="1"/>
  <c r="S304" i="1" s="1"/>
  <c r="AA305" i="1" l="1"/>
  <c r="R304" i="1" l="1"/>
  <c r="N305" i="1" s="1"/>
  <c r="Z305" i="1" s="1"/>
  <c r="V306" i="1" s="1"/>
  <c r="W306" i="1" s="1"/>
  <c r="O305" i="1" l="1"/>
  <c r="P305" i="1" s="1"/>
  <c r="Y306" i="1"/>
  <c r="X306" i="1"/>
  <c r="AA306" i="1" l="1"/>
  <c r="Q305" i="1"/>
  <c r="S305" i="1" s="1"/>
  <c r="R305" i="1" l="1"/>
  <c r="N306" i="1" s="1"/>
  <c r="Z306" i="1" l="1"/>
  <c r="O306" i="1"/>
  <c r="P306" i="1" s="1"/>
  <c r="Q306" i="1" l="1"/>
  <c r="S306" i="1" s="1"/>
  <c r="R306" i="1" s="1"/>
</calcChain>
</file>

<file path=xl/sharedStrings.xml><?xml version="1.0" encoding="utf-8"?>
<sst xmlns="http://schemas.openxmlformats.org/spreadsheetml/2006/main" count="46" uniqueCount="37">
  <si>
    <t>S_w [ft^2]</t>
  </si>
  <si>
    <t>b [ft]</t>
  </si>
  <si>
    <t>Ixx [slug*ft^2]</t>
  </si>
  <si>
    <t>Cl,pbar</t>
  </si>
  <si>
    <t>Cl,da</t>
  </si>
  <si>
    <t>V [ft/s]</t>
  </si>
  <si>
    <t>dt[s]</t>
  </si>
  <si>
    <t>rho [slug/ft^3]</t>
  </si>
  <si>
    <t>p_sp [deg/s]</t>
  </si>
  <si>
    <t>CONSTANTS</t>
  </si>
  <si>
    <t>CALCULATIONS</t>
  </si>
  <si>
    <t>da [rad]</t>
  </si>
  <si>
    <t>da [deg]</t>
  </si>
  <si>
    <t>time_constant [/s]</t>
  </si>
  <si>
    <t>INTEGRATION</t>
  </si>
  <si>
    <t>time [s]</t>
  </si>
  <si>
    <t>p [deg/s] (analytic)</t>
  </si>
  <si>
    <t>p [deg/s] (constant deflection)</t>
  </si>
  <si>
    <t>p [deg/s] (variable deflection)</t>
  </si>
  <si>
    <t>GAINS</t>
  </si>
  <si>
    <t>Roll Rate</t>
  </si>
  <si>
    <t>k_p</t>
  </si>
  <si>
    <t>k_i</t>
  </si>
  <si>
    <t>k_d</t>
  </si>
  <si>
    <t>err [deg/s]</t>
  </si>
  <si>
    <t>p [deg/s]</t>
  </si>
  <si>
    <t>int</t>
  </si>
  <si>
    <t>der</t>
  </si>
  <si>
    <t>PLOTS</t>
  </si>
  <si>
    <t>pdot [deg/s^2]</t>
  </si>
  <si>
    <t>PID Rolling Rate</t>
  </si>
  <si>
    <t>PID Bank Angle</t>
  </si>
  <si>
    <t>phi [deg]</t>
  </si>
  <si>
    <t>phi dot [deg/s]</t>
  </si>
  <si>
    <t>phi_sp[deg]</t>
  </si>
  <si>
    <t>p_sp[deg/s]</t>
  </si>
  <si>
    <t>Bank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</si>
</sst>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164" fontId="0" fillId="0" borderId="11" xfId="0" applyNumberFormat="1" applyBorder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8956118566963"/>
          <c:y val="3.1849676898883975E-2"/>
          <c:w val="0.83826328154029006"/>
          <c:h val="0.79459397771748719"/>
        </c:manualLayout>
      </c:layout>
      <c:scatterChart>
        <c:scatterStyle val="lineMarker"/>
        <c:varyColors val="0"/>
        <c:ser>
          <c:idx val="0"/>
          <c:order val="0"/>
          <c:tx>
            <c:v>Analytic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Sheet1!$H$6:$H$306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Sheet1!$I$6:$I$306</c:f>
              <c:numCache>
                <c:formatCode>0.000000</c:formatCode>
                <c:ptCount val="301"/>
                <c:pt idx="0">
                  <c:v>0</c:v>
                </c:pt>
                <c:pt idx="1">
                  <c:v>1.1011944423338693</c:v>
                </c:pt>
                <c:pt idx="2">
                  <c:v>2.1781363006711958</c:v>
                </c:pt>
                <c:pt idx="3">
                  <c:v>3.2313597112261667</c:v>
                </c:pt>
                <c:pt idx="4">
                  <c:v>4.2613870464563597</c:v>
                </c:pt>
                <c:pt idx="5">
                  <c:v>5.2687291741464017</c:v>
                </c:pt>
                <c:pt idx="6">
                  <c:v>6.2538857107856218</c:v>
                </c:pt>
                <c:pt idx="7">
                  <c:v>7.2173452693653273</c:v>
                </c:pt>
                <c:pt idx="8">
                  <c:v>8.159585701718596</c:v>
                </c:pt>
                <c:pt idx="9">
                  <c:v>9.0810743355228745</c:v>
                </c:pt>
                <c:pt idx="10">
                  <c:v>9.982268206082777</c:v>
                </c:pt>
                <c:pt idx="11">
                  <c:v>10.863614283008154</c:v>
                </c:pt>
                <c:pt idx="12">
                  <c:v>11.725549691899872</c:v>
                </c:pt>
                <c:pt idx="13">
                  <c:v>12.568501931153147</c:v>
                </c:pt>
                <c:pt idx="14">
                  <c:v>13.392889083986047</c:v>
                </c:pt>
                <c:pt idx="15">
                  <c:v>14.199120025798328</c:v>
                </c:pt>
                <c:pt idx="16">
                  <c:v>14.987594626963384</c:v>
                </c:pt>
                <c:pt idx="17">
                  <c:v>15.758703951153949</c:v>
                </c:pt>
                <c:pt idx="18">
                  <c:v>16.512830449299912</c:v>
                </c:pt>
                <c:pt idx="19">
                  <c:v>17.250348149274366</c:v>
                </c:pt>
                <c:pt idx="20">
                  <c:v>17.97162284140213</c:v>
                </c:pt>
                <c:pt idx="21">
                  <c:v>18.677012259882552</c:v>
                </c:pt>
                <c:pt idx="22">
                  <c:v>19.366866260216742</c:v>
                </c:pt>
                <c:pt idx="23">
                  <c:v>20.041526992727128</c:v>
                </c:pt>
                <c:pt idx="24">
                  <c:v>20.70132907225549</c:v>
                </c:pt>
                <c:pt idx="25">
                  <c:v>21.346599744123509</c:v>
                </c:pt>
                <c:pt idx="26">
                  <c:v>21.977659046438294</c:v>
                </c:pt>
                <c:pt idx="27">
                  <c:v>22.594819968823231</c:v>
                </c:pt>
                <c:pt idx="28">
                  <c:v>23.198388607653051</c:v>
                </c:pt>
                <c:pt idx="29">
                  <c:v>23.788664317869944</c:v>
                </c:pt>
                <c:pt idx="30">
                  <c:v>24.365939861456123</c:v>
                </c:pt>
                <c:pt idx="31">
                  <c:v>24.930501552636457</c:v>
                </c:pt>
                <c:pt idx="32">
                  <c:v>25.482629399883141</c:v>
                </c:pt>
                <c:pt idx="33">
                  <c:v>26.022597244792909</c:v>
                </c:pt>
                <c:pt idx="34">
                  <c:v>26.55067289790561</c:v>
                </c:pt>
                <c:pt idx="35">
                  <c:v>27.067118271531513</c:v>
                </c:pt>
                <c:pt idx="36">
                  <c:v>27.572189509653303</c:v>
                </c:pt>
                <c:pt idx="37">
                  <c:v>28.066137114967045</c:v>
                </c:pt>
                <c:pt idx="38">
                  <c:v>28.549206073125273</c:v>
                </c:pt>
                <c:pt idx="39">
                  <c:v>29.021635974243743</c:v>
                </c:pt>
                <c:pt idx="40">
                  <c:v>29.483661131732134</c:v>
                </c:pt>
                <c:pt idx="41">
                  <c:v>29.935510698507631</c:v>
                </c:pt>
                <c:pt idx="42">
                  <c:v>30.377408780649048</c:v>
                </c:pt>
                <c:pt idx="43">
                  <c:v>30.809574548547822</c:v>
                </c:pt>
                <c:pt idx="44">
                  <c:v>31.232222345611049</c:v>
                </c:pt>
                <c:pt idx="45">
                  <c:v>31.645561794570465</c:v>
                </c:pt>
                <c:pt idx="46">
                  <c:v>32.049797901450056</c:v>
                </c:pt>
                <c:pt idx="47">
                  <c:v>32.445131157243921</c:v>
                </c:pt>
                <c:pt idx="48">
                  <c:v>32.831757637354769</c:v>
                </c:pt>
                <c:pt idx="49">
                  <c:v>33.209869098842489</c:v>
                </c:pt>
                <c:pt idx="50">
                  <c:v>33.579653075530743</c:v>
                </c:pt>
                <c:pt idx="51">
                  <c:v>33.941292971019138</c:v>
                </c:pt>
                <c:pt idx="52">
                  <c:v>34.29496814964677</c:v>
                </c:pt>
                <c:pt idx="53">
                  <c:v>34.64085402545247</c:v>
                </c:pt>
                <c:pt idx="54">
                  <c:v>34.979122149175801</c:v>
                </c:pt>
                <c:pt idx="55">
                  <c:v>35.309940293341874</c:v>
                </c:pt>
                <c:pt idx="56">
                  <c:v>35.633472535472364</c:v>
                </c:pt>
                <c:pt idx="57">
                  <c:v>35.949879339463862</c:v>
                </c:pt>
                <c:pt idx="58">
                  <c:v>36.259317635173915</c:v>
                </c:pt>
                <c:pt idx="59">
                  <c:v>36.561940896254349</c:v>
                </c:pt>
                <c:pt idx="60">
                  <c:v>36.857899216270319</c:v>
                </c:pt>
                <c:pt idx="61">
                  <c:v>37.147339383143013</c:v>
                </c:pt>
                <c:pt idx="62">
                  <c:v>37.430404951952738</c:v>
                </c:pt>
                <c:pt idx="63">
                  <c:v>37.707236316138676</c:v>
                </c:pt>
                <c:pt idx="64">
                  <c:v>37.977970777130508</c:v>
                </c:pt>
                <c:pt idx="65">
                  <c:v>38.242742612446499</c:v>
                </c:pt>
                <c:pt idx="66">
                  <c:v>38.501683142291746</c:v>
                </c:pt>
                <c:pt idx="67">
                  <c:v>38.754920794689788</c:v>
                </c:pt>
                <c:pt idx="68">
                  <c:v>39.002581169179635</c:v>
                </c:pt>
                <c:pt idx="69">
                  <c:v>39.244787099109978</c:v>
                </c:pt>
                <c:pt idx="70">
                  <c:v>39.481658712561526</c:v>
                </c:pt>
                <c:pt idx="71">
                  <c:v>39.713313491927487</c:v>
                </c:pt>
                <c:pt idx="72">
                  <c:v>39.939866332181893</c:v>
                </c:pt>
                <c:pt idx="73">
                  <c:v>40.16142959786464</c:v>
                </c:pt>
                <c:pt idx="74">
                  <c:v>40.378113178811482</c:v>
                </c:pt>
                <c:pt idx="75">
                  <c:v>40.590024544656636</c:v>
                </c:pt>
                <c:pt idx="76">
                  <c:v>40.797268798135086</c:v>
                </c:pt>
                <c:pt idx="77">
                  <c:v>40.999948727210807</c:v>
                </c:pt>
                <c:pt idx="78">
                  <c:v>41.198164856057112</c:v>
                </c:pt>
                <c:pt idx="79">
                  <c:v>41.392015494914084</c:v>
                </c:pt>
                <c:pt idx="80">
                  <c:v>41.581596788848024</c:v>
                </c:pt>
                <c:pt idx="81">
                  <c:v>41.767002765436949</c:v>
                </c:pt>
                <c:pt idx="82">
                  <c:v>41.948325381405965</c:v>
                </c:pt>
                <c:pt idx="83">
                  <c:v>42.12565456823549</c:v>
                </c:pt>
                <c:pt idx="84">
                  <c:v>42.299078276765016</c:v>
                </c:pt>
                <c:pt idx="85">
                  <c:v>42.468682520814504</c:v>
                </c:pt>
                <c:pt idx="86">
                  <c:v>42.634551419845124</c:v>
                </c:pt>
                <c:pt idx="87">
                  <c:v>42.796767240680367</c:v>
                </c:pt>
                <c:pt idx="88">
                  <c:v>42.955410438308377</c:v>
                </c:pt>
                <c:pt idx="89">
                  <c:v>43.110559695785533</c:v>
                </c:pt>
                <c:pt idx="90">
                  <c:v>43.262291963261376</c:v>
                </c:pt>
                <c:pt idx="91">
                  <c:v>43.41068249614387</c:v>
                </c:pt>
                <c:pt idx="92">
                  <c:v>43.555804892424263</c:v>
                </c:pt>
                <c:pt idx="93">
                  <c:v>43.697731129179815</c:v>
                </c:pt>
                <c:pt idx="94">
                  <c:v>43.836531598272636</c:v>
                </c:pt>
                <c:pt idx="95">
                  <c:v>43.97227514126228</c:v>
                </c:pt>
                <c:pt idx="96">
                  <c:v>44.105029083549482</c:v>
                </c:pt>
                <c:pt idx="97">
                  <c:v>44.234859267767781</c:v>
                </c:pt>
                <c:pt idx="98">
                  <c:v>44.361830086439909</c:v>
                </c:pt>
                <c:pt idx="99">
                  <c:v>44.486004513914843</c:v>
                </c:pt>
                <c:pt idx="100">
                  <c:v>44.607444137601462</c:v>
                </c:pt>
                <c:pt idx="101">
                  <c:v>44.726209188514432</c:v>
                </c:pt>
                <c:pt idx="102">
                  <c:v>44.842358571147209</c:v>
                </c:pt>
                <c:pt idx="103">
                  <c:v>44.955949892687286</c:v>
                </c:pt>
                <c:pt idx="104">
                  <c:v>45.067039491587813</c:v>
                </c:pt>
                <c:pt idx="105">
                  <c:v>45.175682465510128</c:v>
                </c:pt>
                <c:pt idx="106">
                  <c:v>45.281932698650813</c:v>
                </c:pt>
                <c:pt idx="107">
                  <c:v>45.385842888466875</c:v>
                </c:pt>
                <c:pt idx="108">
                  <c:v>45.487464571812382</c:v>
                </c:pt>
                <c:pt idx="109">
                  <c:v>45.586848150499478</c:v>
                </c:pt>
                <c:pt idx="110">
                  <c:v>45.684042916296384</c:v>
                </c:pt>
                <c:pt idx="111">
                  <c:v>45.779097075374906</c:v>
                </c:pt>
                <c:pt idx="112">
                  <c:v>45.872057772219463</c:v>
                </c:pt>
                <c:pt idx="113">
                  <c:v>45.962971113009608</c:v>
                </c:pt>
                <c:pt idx="114">
                  <c:v>46.051882188487511</c:v>
                </c:pt>
                <c:pt idx="115">
                  <c:v>46.138835096321841</c:v>
                </c:pt>
                <c:pt idx="116">
                  <c:v>46.223872962979151</c:v>
                </c:pt>
                <c:pt idx="117">
                  <c:v>46.30703796511343</c:v>
                </c:pt>
                <c:pt idx="118">
                  <c:v>46.388371350484775</c:v>
                </c:pt>
                <c:pt idx="119">
                  <c:v>46.467913458417165</c:v>
                </c:pt>
                <c:pt idx="120">
                  <c:v>46.545703739805838</c:v>
                </c:pt>
                <c:pt idx="121">
                  <c:v>46.621780776683842</c:v>
                </c:pt>
                <c:pt idx="122">
                  <c:v>46.696182301357865</c:v>
                </c:pt>
                <c:pt idx="123">
                  <c:v>46.768945215122443</c:v>
                </c:pt>
                <c:pt idx="124">
                  <c:v>46.840105606562112</c:v>
                </c:pt>
                <c:pt idx="125">
                  <c:v>46.909698769450429</c:v>
                </c:pt>
                <c:pt idx="126">
                  <c:v>46.977759220254804</c:v>
                </c:pt>
                <c:pt idx="127">
                  <c:v>47.0443207152558</c:v>
                </c:pt>
                <c:pt idx="128">
                  <c:v>47.10941626728944</c:v>
                </c:pt>
                <c:pt idx="129">
                  <c:v>47.173078162120667</c:v>
                </c:pt>
                <c:pt idx="130">
                  <c:v>47.235337974456371</c:v>
                </c:pt>
                <c:pt idx="131">
                  <c:v>47.296226583605574</c:v>
                </c:pt>
                <c:pt idx="132">
                  <c:v>47.35577418879484</c:v>
                </c:pt>
                <c:pt idx="133">
                  <c:v>47.414010324146346</c:v>
                </c:pt>
                <c:pt idx="134">
                  <c:v>47.470963873325992</c:v>
                </c:pt>
                <c:pt idx="135">
                  <c:v>47.526663083869096</c:v>
                </c:pt>
                <c:pt idx="136">
                  <c:v>47.581135581190345</c:v>
                </c:pt>
                <c:pt idx="137">
                  <c:v>47.634408382285393</c:v>
                </c:pt>
                <c:pt idx="138">
                  <c:v>47.686507909130576</c:v>
                </c:pt>
                <c:pt idx="139">
                  <c:v>47.737460001787547</c:v>
                </c:pt>
                <c:pt idx="140">
                  <c:v>47.787289931219341</c:v>
                </c:pt>
                <c:pt idx="141">
                  <c:v>47.836022411824096</c:v>
                </c:pt>
                <c:pt idx="142">
                  <c:v>47.883681613692779</c:v>
                </c:pt>
                <c:pt idx="143">
                  <c:v>47.930291174596981</c:v>
                </c:pt>
                <c:pt idx="144">
                  <c:v>47.97587421171265</c:v>
                </c:pt>
                <c:pt idx="145">
                  <c:v>48.020453333085577</c:v>
                </c:pt>
                <c:pt idx="146">
                  <c:v>48.064050648844521</c:v>
                </c:pt>
                <c:pt idx="147">
                  <c:v>48.106687782167164</c:v>
                </c:pt>
                <c:pt idx="148">
                  <c:v>48.148385880004767</c:v>
                </c:pt>
                <c:pt idx="149">
                  <c:v>48.189165623570482</c:v>
                </c:pt>
                <c:pt idx="150">
                  <c:v>48.229047238596706</c:v>
                </c:pt>
                <c:pt idx="151">
                  <c:v>48.268050505366567</c:v>
                </c:pt>
                <c:pt idx="152">
                  <c:v>48.306194768524435</c:v>
                </c:pt>
                <c:pt idx="153">
                  <c:v>48.343498946670366</c:v>
                </c:pt>
                <c:pt idx="154">
                  <c:v>48.379981541743312</c:v>
                </c:pt>
                <c:pt idx="155">
                  <c:v>48.415660648197523</c:v>
                </c:pt>
                <c:pt idx="156">
                  <c:v>48.450553961977029</c:v>
                </c:pt>
                <c:pt idx="157">
                  <c:v>48.484678789292374</c:v>
                </c:pt>
                <c:pt idx="158">
                  <c:v>48.518052055204016</c:v>
                </c:pt>
                <c:pt idx="159">
                  <c:v>48.550690312016769</c:v>
                </c:pt>
                <c:pt idx="160">
                  <c:v>48.582609747489322</c:v>
                </c:pt>
                <c:pt idx="161">
                  <c:v>48.61382619286298</c:v>
                </c:pt>
                <c:pt idx="162">
                  <c:v>48.644355130713542</c:v>
                </c:pt>
                <c:pt idx="163">
                  <c:v>48.674211702630267</c:v>
                </c:pt>
                <c:pt idx="164">
                  <c:v>48.70341071672577</c:v>
                </c:pt>
                <c:pt idx="165">
                  <c:v>48.73196665498039</c:v>
                </c:pt>
                <c:pt idx="166">
                  <c:v>48.759893680424987</c:v>
                </c:pt>
                <c:pt idx="167">
                  <c:v>48.787205644165361</c:v>
                </c:pt>
                <c:pt idx="168">
                  <c:v>48.81391609225215</c:v>
                </c:pt>
                <c:pt idx="169">
                  <c:v>48.840038272399219</c:v>
                </c:pt>
                <c:pt idx="170">
                  <c:v>48.865585140554295</c:v>
                </c:pt>
                <c:pt idx="171">
                  <c:v>48.890569367324751</c:v>
                </c:pt>
                <c:pt idx="172">
                  <c:v>48.915003344261891</c:v>
                </c:pt>
                <c:pt idx="173">
                  <c:v>48.938899190006879</c:v>
                </c:pt>
                <c:pt idx="174">
                  <c:v>48.962268756301285</c:v>
                </c:pt>
                <c:pt idx="175">
                  <c:v>48.985123633865236</c:v>
                </c:pt>
                <c:pt idx="176">
                  <c:v>49.007475158146107</c:v>
                </c:pt>
                <c:pt idx="177">
                  <c:v>49.029334414940664</c:v>
                </c:pt>
                <c:pt idx="178">
                  <c:v>49.050712245893301</c:v>
                </c:pt>
                <c:pt idx="179">
                  <c:v>49.071619253873259</c:v>
                </c:pt>
                <c:pt idx="180">
                  <c:v>49.09206580823335</c:v>
                </c:pt>
                <c:pt idx="181">
                  <c:v>49.112062049952918</c:v>
                </c:pt>
                <c:pt idx="182">
                  <c:v>49.1316178966675</c:v>
                </c:pt>
                <c:pt idx="183">
                  <c:v>49.150743047587738</c:v>
                </c:pt>
                <c:pt idx="184">
                  <c:v>49.169446988309929</c:v>
                </c:pt>
                <c:pt idx="185">
                  <c:v>49.187738995520668</c:v>
                </c:pt>
                <c:pt idx="186">
                  <c:v>49.205628141597813</c:v>
                </c:pt>
                <c:pt idx="187">
                  <c:v>49.223123299110192</c:v>
                </c:pt>
                <c:pt idx="188">
                  <c:v>49.240233145218163</c:v>
                </c:pt>
                <c:pt idx="189">
                  <c:v>49.256966165977268</c:v>
                </c:pt>
                <c:pt idx="190">
                  <c:v>49.27333066054711</c:v>
                </c:pt>
                <c:pt idx="191">
                  <c:v>49.289334745307499</c:v>
                </c:pt>
                <c:pt idx="192">
                  <c:v>49.304986357884047</c:v>
                </c:pt>
                <c:pt idx="193">
                  <c:v>49.320293261084927</c:v>
                </c:pt>
                <c:pt idx="194">
                  <c:v>49.33526304675113</c:v>
                </c:pt>
                <c:pt idx="195">
                  <c:v>49.349903139521771</c:v>
                </c:pt>
                <c:pt idx="196">
                  <c:v>49.364220800516513</c:v>
                </c:pt>
                <c:pt idx="197">
                  <c:v>49.378223130936966</c:v>
                </c:pt>
                <c:pt idx="198">
                  <c:v>49.391917075588644</c:v>
                </c:pt>
                <c:pt idx="199">
                  <c:v>49.405309426325445</c:v>
                </c:pt>
                <c:pt idx="200">
                  <c:v>49.418406825418216</c:v>
                </c:pt>
                <c:pt idx="201">
                  <c:v>49.431215768849199</c:v>
                </c:pt>
                <c:pt idx="202">
                  <c:v>49.443742609533807</c:v>
                </c:pt>
                <c:pt idx="203">
                  <c:v>49.455993560471576</c:v>
                </c:pt>
                <c:pt idx="204">
                  <c:v>49.467974697827621</c:v>
                </c:pt>
                <c:pt idx="205">
                  <c:v>49.479691963946287</c:v>
                </c:pt>
                <c:pt idx="206">
                  <c:v>49.491151170298366</c:v>
                </c:pt>
                <c:pt idx="207">
                  <c:v>49.502358000363479</c:v>
                </c:pt>
                <c:pt idx="208">
                  <c:v>49.513318012448906</c:v>
                </c:pt>
                <c:pt idx="209">
                  <c:v>49.524036642446411</c:v>
                </c:pt>
                <c:pt idx="210">
                  <c:v>49.534519206528266</c:v>
                </c:pt>
                <c:pt idx="211">
                  <c:v>49.544770903783949</c:v>
                </c:pt>
                <c:pt idx="212">
                  <c:v>49.554796818798785</c:v>
                </c:pt>
                <c:pt idx="213">
                  <c:v>49.56460192417574</c:v>
                </c:pt>
                <c:pt idx="214">
                  <c:v>49.574191083001757</c:v>
                </c:pt>
                <c:pt idx="215">
                  <c:v>49.583569051259651</c:v>
                </c:pt>
                <c:pt idx="216">
                  <c:v>49.592740480187025</c:v>
                </c:pt>
                <c:pt idx="217">
                  <c:v>49.60170991858314</c:v>
                </c:pt>
                <c:pt idx="218">
                  <c:v>49.610481815064993</c:v>
                </c:pt>
                <c:pt idx="219">
                  <c:v>49.619060520273763</c:v>
                </c:pt>
                <c:pt idx="220">
                  <c:v>49.627450289032566</c:v>
                </c:pt>
                <c:pt idx="221">
                  <c:v>49.635655282456774</c:v>
                </c:pt>
                <c:pt idx="222">
                  <c:v>49.643679570017817</c:v>
                </c:pt>
                <c:pt idx="223">
                  <c:v>49.651527131561544</c:v>
                </c:pt>
                <c:pt idx="224">
                  <c:v>49.65920185928212</c:v>
                </c:pt>
                <c:pt idx="225">
                  <c:v>49.666707559652437</c:v>
                </c:pt>
                <c:pt idx="226">
                  <c:v>49.674047955312098</c:v>
                </c:pt>
                <c:pt idx="227">
                  <c:v>49.681226686913647</c:v>
                </c:pt>
                <c:pt idx="228">
                  <c:v>49.68824731492834</c:v>
                </c:pt>
                <c:pt idx="229">
                  <c:v>49.695113321412016</c:v>
                </c:pt>
                <c:pt idx="230">
                  <c:v>49.701828111732077</c:v>
                </c:pt>
                <c:pt idx="231">
                  <c:v>49.708395016256489</c:v>
                </c:pt>
                <c:pt idx="232">
                  <c:v>49.714817292005591</c:v>
                </c:pt>
                <c:pt idx="233">
                  <c:v>49.721098124267456</c:v>
                </c:pt>
                <c:pt idx="234">
                  <c:v>49.727240628177725</c:v>
                </c:pt>
                <c:pt idx="235">
                  <c:v>49.733247850264625</c:v>
                </c:pt>
                <c:pt idx="236">
                  <c:v>49.739122769960005</c:v>
                </c:pt>
                <c:pt idx="237">
                  <c:v>49.744868301077034</c:v>
                </c:pt>
                <c:pt idx="238">
                  <c:v>49.750487293255382</c:v>
                </c:pt>
                <c:pt idx="239">
                  <c:v>49.755982533374556</c:v>
                </c:pt>
                <c:pt idx="240">
                  <c:v>49.761356746936166</c:v>
                </c:pt>
                <c:pt idx="241">
                  <c:v>49.766612599415652</c:v>
                </c:pt>
                <c:pt idx="242">
                  <c:v>49.771752697584333</c:v>
                </c:pt>
                <c:pt idx="243">
                  <c:v>49.776779590802285</c:v>
                </c:pt>
                <c:pt idx="244">
                  <c:v>49.781695772282774</c:v>
                </c:pt>
                <c:pt idx="245">
                  <c:v>49.786503680328771</c:v>
                </c:pt>
                <c:pt idx="246">
                  <c:v>49.791205699542388</c:v>
                </c:pt>
                <c:pt idx="247">
                  <c:v>49.795804162007485</c:v>
                </c:pt>
                <c:pt idx="248">
                  <c:v>49.800301348446389</c:v>
                </c:pt>
                <c:pt idx="249">
                  <c:v>49.80469948935103</c:v>
                </c:pt>
                <c:pt idx="250">
                  <c:v>49.80900076608927</c:v>
                </c:pt>
                <c:pt idx="251">
                  <c:v>49.813207311986716</c:v>
                </c:pt>
                <c:pt idx="252">
                  <c:v>49.817321213384893</c:v>
                </c:pt>
                <c:pt idx="253">
                  <c:v>49.821344510675949</c:v>
                </c:pt>
                <c:pt idx="254">
                  <c:v>49.825279199314672</c:v>
                </c:pt>
                <c:pt idx="255">
                  <c:v>49.829127230808169</c:v>
                </c:pt>
                <c:pt idx="256">
                  <c:v>49.832890513683765</c:v>
                </c:pt>
                <c:pt idx="257">
                  <c:v>49.836570914435626</c:v>
                </c:pt>
                <c:pt idx="258">
                  <c:v>49.840170258450414</c:v>
                </c:pt>
                <c:pt idx="259">
                  <c:v>49.843690330912693</c:v>
                </c:pt>
                <c:pt idx="260">
                  <c:v>49.847132877690328</c:v>
                </c:pt>
                <c:pt idx="261">
                  <c:v>49.850499606200387</c:v>
                </c:pt>
                <c:pt idx="262">
                  <c:v>49.853792186255973</c:v>
                </c:pt>
                <c:pt idx="263">
                  <c:v>49.857012250894378</c:v>
                </c:pt>
                <c:pt idx="264">
                  <c:v>49.86016139718712</c:v>
                </c:pt>
                <c:pt idx="265">
                  <c:v>49.863241187031939</c:v>
                </c:pt>
                <c:pt idx="266">
                  <c:v>49.866253147927559</c:v>
                </c:pt>
                <c:pt idx="267">
                  <c:v>49.869198773731192</c:v>
                </c:pt>
                <c:pt idx="268">
                  <c:v>49.872079525399549</c:v>
                </c:pt>
                <c:pt idx="269">
                  <c:v>49.874896831713365</c:v>
                </c:pt>
                <c:pt idx="270">
                  <c:v>49.877652089986071</c:v>
                </c:pt>
                <c:pt idx="271">
                  <c:v>49.880346666756843</c:v>
                </c:pt>
                <c:pt idx="272">
                  <c:v>49.88298189846833</c:v>
                </c:pt>
                <c:pt idx="273">
                  <c:v>49.885559092129505</c:v>
                </c:pt>
                <c:pt idx="274">
                  <c:v>49.88807952596396</c:v>
                </c:pt>
                <c:pt idx="275">
                  <c:v>49.890544450043798</c:v>
                </c:pt>
                <c:pt idx="276">
                  <c:v>49.892955086909687</c:v>
                </c:pt>
                <c:pt idx="277">
                  <c:v>49.895312632177188</c:v>
                </c:pt>
                <c:pt idx="278">
                  <c:v>49.897618255129771</c:v>
                </c:pt>
                <c:pt idx="279">
                  <c:v>49.899873099298716</c:v>
                </c:pt>
                <c:pt idx="280">
                  <c:v>49.902078283030328</c:v>
                </c:pt>
                <c:pt idx="281">
                  <c:v>49.904234900040535</c:v>
                </c:pt>
                <c:pt idx="282">
                  <c:v>49.906344019957437</c:v>
                </c:pt>
                <c:pt idx="283">
                  <c:v>49.90840668885172</c:v>
                </c:pt>
                <c:pt idx="284">
                  <c:v>49.910423929755552</c:v>
                </c:pt>
                <c:pt idx="285">
                  <c:v>49.912396743169936</c:v>
                </c:pt>
                <c:pt idx="286">
                  <c:v>49.914326107560974</c:v>
                </c:pt>
                <c:pt idx="287">
                  <c:v>49.916212979845113</c:v>
                </c:pt>
                <c:pt idx="288">
                  <c:v>49.918058295863794</c:v>
                </c:pt>
                <c:pt idx="289">
                  <c:v>49.919862970847596</c:v>
                </c:pt>
                <c:pt idx="290">
                  <c:v>49.921627899870153</c:v>
                </c:pt>
                <c:pt idx="291">
                  <c:v>49.92335395829209</c:v>
                </c:pt>
                <c:pt idx="292">
                  <c:v>49.925042002195198</c:v>
                </c:pt>
                <c:pt idx="293">
                  <c:v>49.926692868807024</c:v>
                </c:pt>
                <c:pt idx="294">
                  <c:v>49.928307376916095</c:v>
                </c:pt>
                <c:pt idx="295">
                  <c:v>49.929886327278012</c:v>
                </c:pt>
                <c:pt idx="296">
                  <c:v>49.93143050301267</c:v>
                </c:pt>
                <c:pt idx="297">
                  <c:v>49.932940669992597</c:v>
                </c:pt>
                <c:pt idx="298">
                  <c:v>49.93441757722281</c:v>
                </c:pt>
                <c:pt idx="299">
                  <c:v>49.935861957212353</c:v>
                </c:pt>
                <c:pt idx="300">
                  <c:v>49.937274526337553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7-488A-A4C8-7213BD8AEC00}"/>
            </c:ext>
          </c:extLst>
        </c:ser>
        <c:ser>
          <c:idx val="1"/>
          <c:order val="1"/>
          <c:tx>
            <c:v>Constant Aileron Deflection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Sheet1!$H$6:$H$306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Sheet1!$J$6:$J$306</c:f>
              <c:numCache>
                <c:formatCode>General</c:formatCode>
                <c:ptCount val="301"/>
                <c:pt idx="0">
                  <c:v>0</c:v>
                </c:pt>
                <c:pt idx="1">
                  <c:v>1.1135017734620629</c:v>
                </c:pt>
                <c:pt idx="2">
                  <c:v>2.2022058229340624</c:v>
                </c:pt>
                <c:pt idx="3">
                  <c:v>3.2666643946088141</c:v>
                </c:pt>
                <c:pt idx="4">
                  <c:v>4.3074174361368307</c:v>
                </c:pt>
                <c:pt idx="5">
                  <c:v>5.324992870515298</c:v>
                </c:pt>
                <c:pt idx="6">
                  <c:v>6.3199068638775282</c:v>
                </c:pt>
                <c:pt idx="7">
                  <c:v>7.2926640873187374</c:v>
                </c:pt>
                <c:pt idx="8">
                  <c:v>8.2437579728909505</c:v>
                </c:pt>
                <c:pt idx="9">
                  <c:v>9.1736709638968907</c:v>
                </c:pt>
                <c:pt idx="10">
                  <c:v>10.082874759609821</c:v>
                </c:pt>
                <c:pt idx="11">
                  <c:v>10.971830554543455</c:v>
                </c:pt>
                <c:pt idx="12">
                  <c:v>11.84098927239333</c:v>
                </c:pt>
                <c:pt idx="13">
                  <c:v>12.690791794768288</c:v>
                </c:pt>
                <c:pt idx="14">
                  <c:v>13.521669184828104</c:v>
                </c:pt>
                <c:pt idx="15">
                  <c:v>14.334042905940699</c:v>
                </c:pt>
                <c:pt idx="16">
                  <c:v>15.128325035469835</c:v>
                </c:pt>
                <c:pt idx="17">
                  <c:v>15.904918473801775</c:v>
                </c:pt>
                <c:pt idx="18">
                  <c:v>16.664217148716883</c:v>
                </c:pt>
                <c:pt idx="19">
                  <c:v>17.406606215209884</c:v>
                </c:pt>
                <c:pt idx="20">
                  <c:v>18.132462250860108</c:v>
                </c:pt>
                <c:pt idx="21">
                  <c:v>18.842153446850837</c:v>
                </c:pt>
                <c:pt idx="22">
                  <c:v>19.536039794734645</c:v>
                </c:pt>
                <c:pt idx="23">
                  <c:v>20.214473269039459</c:v>
                </c:pt>
                <c:pt idx="24">
                  <c:v>20.877798005807986</c:v>
                </c:pt>
                <c:pt idx="25">
                  <c:v>21.526350477161049</c:v>
                </c:pt>
                <c:pt idx="26">
                  <c:v>22.160459661973416</c:v>
                </c:pt>
                <c:pt idx="27">
                  <c:v>22.780447212748641</c:v>
                </c:pt>
                <c:pt idx="28">
                  <c:v>23.386627618777613</c:v>
                </c:pt>
                <c:pt idx="29">
                  <c:v>23.979308365663559</c:v>
                </c:pt>
                <c:pt idx="30">
                  <c:v>24.558790091294423</c:v>
                </c:pt>
                <c:pt idx="31">
                  <c:v>25.125366738341707</c:v>
                </c:pt>
                <c:pt idx="32">
                  <c:v>25.679325703363205</c:v>
                </c:pt>
                <c:pt idx="33">
                  <c:v>26.220947982585169</c:v>
                </c:pt>
                <c:pt idx="34">
                  <c:v>26.75050831443793</c:v>
                </c:pt>
                <c:pt idx="35">
                  <c:v>27.268275318917226</c:v>
                </c:pt>
                <c:pt idx="36">
                  <c:v>27.774511633841968</c:v>
                </c:pt>
                <c:pt idx="37">
                  <c:v>28.269474048077516</c:v>
                </c:pt>
                <c:pt idx="38">
                  <c:v>28.753413631792096</c:v>
                </c:pt>
                <c:pt idx="39">
                  <c:v>29.226575863812386</c:v>
                </c:pt>
                <c:pt idx="40">
                  <c:v>29.689200756142878</c:v>
                </c:pt>
                <c:pt idx="41">
                  <c:v>30.141522975712213</c:v>
                </c:pt>
                <c:pt idx="42">
                  <c:v>30.583771963408214</c:v>
                </c:pt>
                <c:pt idx="43">
                  <c:v>31.016172050461989</c:v>
                </c:pt>
                <c:pt idx="44">
                  <c:v>31.438942572240176</c:v>
                </c:pt>
                <c:pt idx="45">
                  <c:v>31.85229797950301</c:v>
                </c:pt>
                <c:pt idx="46">
                  <c:v>32.256447947184697</c:v>
                </c:pt>
                <c:pt idx="47">
                  <c:v>32.651597480751221</c:v>
                </c:pt>
                <c:pt idx="48">
                  <c:v>33.037947020189563</c:v>
                </c:pt>
                <c:pt idx="49">
                  <c:v>33.415692541681089</c:v>
                </c:pt>
                <c:pt idx="50">
                  <c:v>33.785025657010657</c:v>
                </c:pt>
                <c:pt idx="51">
                  <c:v>34.146133710761866</c:v>
                </c:pt>
                <c:pt idx="52">
                  <c:v>34.499199875347806</c:v>
                </c:pt>
                <c:pt idx="53">
                  <c:v>34.844403243925427</c:v>
                </c:pt>
                <c:pt idx="54">
                  <c:v>35.181918921240722</c:v>
                </c:pt>
                <c:pt idx="55">
                  <c:v>35.511918112450786</c:v>
                </c:pt>
                <c:pt idx="56">
                  <c:v>35.834568209967777</c:v>
                </c:pt>
                <c:pt idx="57">
                  <c:v>36.150032878368911</c:v>
                </c:pt>
                <c:pt idx="58">
                  <c:v>36.458472137415463</c:v>
                </c:pt>
                <c:pt idx="59">
                  <c:v>36.760042443222936</c:v>
                </c:pt>
                <c:pt idx="60">
                  <c:v>37.05489676762361</c:v>
                </c:pt>
                <c:pt idx="61">
                  <c:v>37.34318467576162</c:v>
                </c:pt>
                <c:pt idx="62">
                  <c:v>37.625052401960048</c:v>
                </c:pt>
                <c:pt idx="63">
                  <c:v>37.900642923898403</c:v>
                </c:pt>
                <c:pt idx="64">
                  <c:v>38.170096035138201</c:v>
                </c:pt>
                <c:pt idx="65">
                  <c:v>38.433548416033389</c:v>
                </c:pt>
                <c:pt idx="66">
                  <c:v>38.691133703061588</c:v>
                </c:pt>
                <c:pt idx="67">
                  <c:v>38.942982556611312</c:v>
                </c:pt>
                <c:pt idx="68">
                  <c:v>39.189222727259597</c:v>
                </c:pt>
                <c:pt idx="69">
                  <c:v>39.429979120573591</c:v>
                </c:pt>
                <c:pt idx="70">
                  <c:v>39.665373860469039</c:v>
                </c:pt>
                <c:pt idx="71">
                  <c:v>39.895526351157741</c:v>
                </c:pt>
                <c:pt idx="72">
                  <c:v>40.120553337715471</c:v>
                </c:pt>
                <c:pt idx="73">
                  <c:v>40.340568965301024</c:v>
                </c:pt>
                <c:pt idx="74">
                  <c:v>40.555684837056461</c:v>
                </c:pt>
                <c:pt idx="75">
                  <c:v>40.766010070717904</c:v>
                </c:pt>
                <c:pt idx="76">
                  <c:v>40.971651353965633</c:v>
                </c:pt>
                <c:pt idx="77">
                  <c:v>41.172712998541492</c:v>
                </c:pt>
                <c:pt idx="78">
                  <c:v>41.369296993161143</c:v>
                </c:pt>
                <c:pt idx="79">
                  <c:v>41.561503055247933</c:v>
                </c:pt>
                <c:pt idx="80">
                  <c:v>41.749428681514644</c:v>
                </c:pt>
                <c:pt idx="81">
                  <c:v>41.93316919741882</c:v>
                </c:pt>
                <c:pt idx="82">
                  <c:v>42.11281780551667</c:v>
                </c:pt>
                <c:pt idx="83">
                  <c:v>42.288465632740184</c:v>
                </c:pt>
                <c:pt idx="84">
                  <c:v>42.460201776621332</c:v>
                </c:pt>
                <c:pt idx="85">
                  <c:v>42.628113350486899</c:v>
                </c:pt>
                <c:pt idx="86">
                  <c:v>42.792285527646783</c:v>
                </c:pt>
                <c:pt idx="87">
                  <c:v>42.952801584598255</c:v>
                </c:pt>
                <c:pt idx="88">
                  <c:v>43.109742943268031</c:v>
                </c:pt>
                <c:pt idx="89">
                  <c:v>43.263189212313641</c:v>
                </c:pt>
                <c:pt idx="90">
                  <c:v>43.413218227504984</c:v>
                </c:pt>
                <c:pt idx="91">
                  <c:v>43.559906091206599</c:v>
                </c:pt>
                <c:pt idx="92">
                  <c:v>43.703327210980675</c:v>
                </c:pt>
                <c:pt idx="93">
                  <c:v>43.843554337330339</c:v>
                </c:pt>
                <c:pt idx="94">
                  <c:v>43.980658600602446</c:v>
                </c:pt>
                <c:pt idx="95">
                  <c:v>44.1147095470685</c:v>
                </c:pt>
                <c:pt idx="96">
                  <c:v>44.245775174202073</c:v>
                </c:pt>
                <c:pt idx="97">
                  <c:v>44.373921965170581</c:v>
                </c:pt>
                <c:pt idx="98">
                  <c:v>44.499214922558949</c:v>
                </c:pt>
                <c:pt idx="99">
                  <c:v>44.621717601342233</c:v>
                </c:pt>
                <c:pt idx="100">
                  <c:v>44.741492141123935</c:v>
                </c:pt>
                <c:pt idx="101">
                  <c:v>44.85859929765639</c:v>
                </c:pt>
                <c:pt idx="102">
                  <c:v>44.973098473659164</c:v>
                </c:pt>
                <c:pt idx="103">
                  <c:v>45.085047748951155</c:v>
                </c:pt>
                <c:pt idx="104">
                  <c:v>45.194503909911639</c:v>
                </c:pt>
                <c:pt idx="105">
                  <c:v>45.301522478285207</c:v>
                </c:pt>
                <c:pt idx="106">
                  <c:v>45.406157739345225</c:v>
                </c:pt>
                <c:pt idx="107">
                  <c:v>45.508462769430103</c:v>
                </c:pt>
                <c:pt idx="108">
                  <c:v>45.608489462866309</c:v>
                </c:pt>
                <c:pt idx="109">
                  <c:v>45.706288558291824</c:v>
                </c:pt>
                <c:pt idx="110">
                  <c:v>45.801909664393349</c:v>
                </c:pt>
                <c:pt idx="111">
                  <c:v>45.895401285070392</c:v>
                </c:pt>
                <c:pt idx="112">
                  <c:v>45.986810844038878</c:v>
                </c:pt>
                <c:pt idx="113">
                  <c:v>46.076184708886906</c:v>
                </c:pt>
                <c:pt idx="114">
                  <c:v>46.163568214594747</c:v>
                </c:pt>
                <c:pt idx="115">
                  <c:v>46.249005686531049</c:v>
                </c:pt>
                <c:pt idx="116">
                  <c:v>46.332540462936926</c:v>
                </c:pt>
                <c:pt idx="117">
                  <c:v>46.41421491690933</c:v>
                </c:pt>
                <c:pt idx="118">
                  <c:v>46.494070477894837</c:v>
                </c:pt>
                <c:pt idx="119">
                  <c:v>46.572147652704778</c:v>
                </c:pt>
                <c:pt idx="120">
                  <c:v>46.648486046062366</c:v>
                </c:pt>
                <c:pt idx="121">
                  <c:v>46.723124380692212</c:v>
                </c:pt>
                <c:pt idx="122">
                  <c:v>46.79610051696249</c:v>
                </c:pt>
                <c:pt idx="123">
                  <c:v>46.86745147208962</c:v>
                </c:pt>
                <c:pt idx="124">
                  <c:v>46.9372134389153</c:v>
                </c:pt>
                <c:pt idx="125">
                  <c:v>47.005421804265374</c:v>
                </c:pt>
                <c:pt idx="126">
                  <c:v>47.072111166899802</c:v>
                </c:pt>
                <c:pt idx="127">
                  <c:v>47.137315355062938</c:v>
                </c:pt>
                <c:pt idx="128">
                  <c:v>47.201067443642941</c:v>
                </c:pt>
                <c:pt idx="129">
                  <c:v>47.263399770949029</c:v>
                </c:pt>
                <c:pt idx="130">
                  <c:v>47.324343955115125</c:v>
                </c:pt>
                <c:pt idx="131">
                  <c:v>47.383930910138204</c:v>
                </c:pt>
                <c:pt idx="132">
                  <c:v>47.442190861559411</c:v>
                </c:pt>
                <c:pt idx="133">
                  <c:v>47.499153361796033</c:v>
                </c:pt>
                <c:pt idx="134">
                  <c:v>47.554847305131965</c:v>
                </c:pt>
                <c:pt idx="135">
                  <c:v>47.609300942374389</c:v>
                </c:pt>
                <c:pt idx="136">
                  <c:v>47.662541895183992</c:v>
                </c:pt>
                <c:pt idx="137">
                  <c:v>47.714597170086108</c:v>
                </c:pt>
                <c:pt idx="138">
                  <c:v>47.765493172169798</c:v>
                </c:pt>
                <c:pt idx="139">
                  <c:v>47.815255718481836</c:v>
                </c:pt>
                <c:pt idx="140">
                  <c:v>47.863910051122467</c:v>
                </c:pt>
                <c:pt idx="141">
                  <c:v>47.911480850049458</c:v>
                </c:pt>
                <c:pt idx="142">
                  <c:v>47.957992245597048</c:v>
                </c:pt>
                <c:pt idx="143">
                  <c:v>48.003467830716069</c:v>
                </c:pt>
                <c:pt idx="144">
                  <c:v>48.047930672941504</c:v>
                </c:pt>
                <c:pt idx="145">
                  <c:v>48.091403326093513</c:v>
                </c:pt>
                <c:pt idx="146">
                  <c:v>48.133907841717885</c:v>
                </c:pt>
                <c:pt idx="147">
                  <c:v>48.175465780271701</c:v>
                </c:pt>
                <c:pt idx="148">
                  <c:v>48.216098222059891</c:v>
                </c:pt>
                <c:pt idx="149">
                  <c:v>48.255825777928258</c:v>
                </c:pt>
                <c:pt idx="150">
                  <c:v>48.294668599718335</c:v>
                </c:pt>
                <c:pt idx="151">
                  <c:v>48.332646390489415</c:v>
                </c:pt>
                <c:pt idx="152">
                  <c:v>48.369778414512986</c:v>
                </c:pt>
                <c:pt idx="153">
                  <c:v>48.406083507044507</c:v>
                </c:pt>
                <c:pt idx="154">
                  <c:v>48.441580083877632</c:v>
                </c:pt>
                <c:pt idx="155">
                  <c:v>48.476286150685652</c:v>
                </c:pt>
                <c:pt idx="156">
                  <c:v>48.510219312154859</c:v>
                </c:pt>
                <c:pt idx="157">
                  <c:v>48.543396780914563</c:v>
                </c:pt>
                <c:pt idx="158">
                  <c:v>48.575835386268203</c:v>
                </c:pt>
                <c:pt idx="159">
                  <c:v>48.607551582730046</c:v>
                </c:pt>
                <c:pt idx="160">
                  <c:v>48.63856145837174</c:v>
                </c:pt>
                <c:pt idx="161">
                  <c:v>48.668880742982992</c:v>
                </c:pt>
                <c:pt idx="162">
                  <c:v>48.698524816050551</c:v>
                </c:pt>
                <c:pt idx="163">
                  <c:v>48.727508714559441</c:v>
                </c:pt>
                <c:pt idx="164">
                  <c:v>48.755847140620503</c:v>
                </c:pt>
                <c:pt idx="165">
                  <c:v>48.783554468928045</c:v>
                </c:pt>
                <c:pt idx="166">
                  <c:v>48.810644754051417</c:v>
                </c:pt>
                <c:pt idx="167">
                  <c:v>48.837131737564221</c:v>
                </c:pt>
                <c:pt idx="168">
                  <c:v>48.863028855014718</c:v>
                </c:pt>
                <c:pt idx="169">
                  <c:v>48.888349242741043</c:v>
                </c:pt>
                <c:pt idx="170">
                  <c:v>48.913105744534612</c:v>
                </c:pt>
                <c:pt idx="171">
                  <c:v>48.937310918155141</c:v>
                </c:pt>
                <c:pt idx="172">
                  <c:v>48.960977041700602</c:v>
                </c:pt>
                <c:pt idx="173">
                  <c:v>48.984116119835285</c:v>
                </c:pt>
                <c:pt idx="174">
                  <c:v>49.006739889879185</c:v>
                </c:pt>
                <c:pt idx="175">
                  <c:v>49.028859827761757</c:v>
                </c:pt>
                <c:pt idx="176">
                  <c:v>49.050487153843108</c:v>
                </c:pt>
                <c:pt idx="177">
                  <c:v>49.071632838605524</c:v>
                </c:pt>
                <c:pt idx="178">
                  <c:v>49.092307608218256</c:v>
                </c:pt>
                <c:pt idx="179">
                  <c:v>49.112521949978394</c:v>
                </c:pt>
                <c:pt idx="180">
                  <c:v>49.132286117630549</c:v>
                </c:pt>
                <c:pt idx="181">
                  <c:v>49.151610136568067</c:v>
                </c:pt>
                <c:pt idx="182">
                  <c:v>49.17050380891844</c:v>
                </c:pt>
                <c:pt idx="183">
                  <c:v>49.188976718515427</c:v>
                </c:pt>
                <c:pt idx="184">
                  <c:v>49.207038235760471</c:v>
                </c:pt>
                <c:pt idx="185">
                  <c:v>49.224697522375841</c:v>
                </c:pt>
                <c:pt idx="186">
                  <c:v>49.241963536051919</c:v>
                </c:pt>
                <c:pt idx="187">
                  <c:v>49.258845034991019</c:v>
                </c:pt>
                <c:pt idx="188">
                  <c:v>49.275350582349972</c:v>
                </c:pt>
                <c:pt idx="189">
                  <c:v>49.2914885505838</c:v>
                </c:pt>
                <c:pt idx="190">
                  <c:v>49.307267125692661</c:v>
                </c:pt>
                <c:pt idx="191">
                  <c:v>49.322694311374192</c:v>
                </c:pt>
                <c:pt idx="192">
                  <c:v>49.337777933083409</c:v>
                </c:pt>
                <c:pt idx="193">
                  <c:v>49.352525642002156</c:v>
                </c:pt>
                <c:pt idx="194">
                  <c:v>49.36694491892019</c:v>
                </c:pt>
                <c:pt idx="195">
                  <c:v>49.381043078029819</c:v>
                </c:pt>
                <c:pt idx="196">
                  <c:v>49.394827270636029</c:v>
                </c:pt>
                <c:pt idx="197">
                  <c:v>49.408304488783983</c:v>
                </c:pt>
                <c:pt idx="198">
                  <c:v>49.421481568805753</c:v>
                </c:pt>
                <c:pt idx="199">
                  <c:v>49.434365194788057</c:v>
                </c:pt>
                <c:pt idx="200">
                  <c:v>49.446961901962766</c:v>
                </c:pt>
                <c:pt idx="201">
                  <c:v>49.459278080021896</c:v>
                </c:pt>
                <c:pt idx="202">
                  <c:v>49.471319976358807</c:v>
                </c:pt>
                <c:pt idx="203">
                  <c:v>49.483093699237173</c:v>
                </c:pt>
                <c:pt idx="204">
                  <c:v>49.494605220889433</c:v>
                </c:pt>
                <c:pt idx="205">
                  <c:v>49.505860380546196</c:v>
                </c:pt>
                <c:pt idx="206">
                  <c:v>49.516864887398192</c:v>
                </c:pt>
                <c:pt idx="207">
                  <c:v>49.527624323492269</c:v>
                </c:pt>
                <c:pt idx="208">
                  <c:v>49.5381441465629</c:v>
                </c:pt>
                <c:pt idx="209">
                  <c:v>49.548429692800617</c:v>
                </c:pt>
                <c:pt idx="210">
                  <c:v>49.558486179558805</c:v>
                </c:pt>
                <c:pt idx="211">
                  <c:v>49.568318708000191</c:v>
                </c:pt>
                <c:pt idx="212">
                  <c:v>49.577932265684439</c:v>
                </c:pt>
                <c:pt idx="213">
                  <c:v>49.587331729098068</c:v>
                </c:pt>
                <c:pt idx="214">
                  <c:v>49.596521866128086</c:v>
                </c:pt>
                <c:pt idx="215">
                  <c:v>49.605507338480479</c:v>
                </c:pt>
                <c:pt idx="216">
                  <c:v>49.614292704044871</c:v>
                </c:pt>
                <c:pt idx="217">
                  <c:v>49.62288241920654</c:v>
                </c:pt>
                <c:pt idx="218">
                  <c:v>49.631280841106886</c:v>
                </c:pt>
                <c:pt idx="219">
                  <c:v>49.639492229853623</c:v>
                </c:pt>
                <c:pt idx="220">
                  <c:v>49.647520750681721</c:v>
                </c:pt>
                <c:pt idx="221">
                  <c:v>49.65537047606621</c:v>
                </c:pt>
                <c:pt idx="222">
                  <c:v>49.66304538778796</c:v>
                </c:pt>
                <c:pt idx="223">
                  <c:v>49.670549378953446</c:v>
                </c:pt>
                <c:pt idx="224">
                  <c:v>49.677886255969518</c:v>
                </c:pt>
                <c:pt idx="225">
                  <c:v>49.685059740474209</c:v>
                </c:pt>
                <c:pt idx="226">
                  <c:v>49.692073471224539</c:v>
                </c:pt>
                <c:pt idx="227">
                  <c:v>49.698931005942292</c:v>
                </c:pt>
                <c:pt idx="228">
                  <c:v>49.705635823118648</c:v>
                </c:pt>
                <c:pt idx="229">
                  <c:v>49.712191323778669</c:v>
                </c:pt>
                <c:pt idx="230">
                  <c:v>49.718600833206473</c:v>
                </c:pt>
                <c:pt idx="231">
                  <c:v>49.724867602631981</c:v>
                </c:pt>
                <c:pt idx="232">
                  <c:v>49.730994810880105</c:v>
                </c:pt>
                <c:pt idx="233">
                  <c:v>49.736985565983218</c:v>
                </c:pt>
                <c:pt idx="234">
                  <c:v>49.742842906757694</c:v>
                </c:pt>
                <c:pt idx="235">
                  <c:v>49.748569804345365</c:v>
                </c:pt>
                <c:pt idx="236">
                  <c:v>49.754169163720633</c:v>
                </c:pt>
                <c:pt idx="237">
                  <c:v>49.759643825164005</c:v>
                </c:pt>
                <c:pt idx="238">
                  <c:v>49.764996565702852</c:v>
                </c:pt>
                <c:pt idx="239">
                  <c:v>49.770230100520045</c:v>
                </c:pt>
                <c:pt idx="240">
                  <c:v>49.77534708433123</c:v>
                </c:pt>
                <c:pt idx="241">
                  <c:v>49.780350112731441</c:v>
                </c:pt>
                <c:pt idx="242">
                  <c:v>49.785241723511724</c:v>
                </c:pt>
                <c:pt idx="243">
                  <c:v>49.790024397946432</c:v>
                </c:pt>
                <c:pt idx="244">
                  <c:v>49.794700562051837</c:v>
                </c:pt>
                <c:pt idx="245">
                  <c:v>49.799272587816759</c:v>
                </c:pt>
                <c:pt idx="246">
                  <c:v>49.803742794405728</c:v>
                </c:pt>
                <c:pt idx="247">
                  <c:v>49.808113449335409</c:v>
                </c:pt>
                <c:pt idx="248">
                  <c:v>49.81238676962478</c:v>
                </c:pt>
                <c:pt idx="249">
                  <c:v>49.816564922919738</c:v>
                </c:pt>
                <c:pt idx="250">
                  <c:v>49.820650028592617</c:v>
                </c:pt>
                <c:pt idx="251">
                  <c:v>49.824644158817264</c:v>
                </c:pt>
                <c:pt idx="252">
                  <c:v>49.828549339620139</c:v>
                </c:pt>
                <c:pt idx="253">
                  <c:v>49.832367551908021</c:v>
                </c:pt>
                <c:pt idx="254">
                  <c:v>49.836100732472822</c:v>
                </c:pt>
                <c:pt idx="255">
                  <c:v>49.839750774974036</c:v>
                </c:pt>
                <c:pt idx="256">
                  <c:v>49.843319530899279</c:v>
                </c:pt>
                <c:pt idx="257">
                  <c:v>49.846808810503489</c:v>
                </c:pt>
                <c:pt idx="258">
                  <c:v>49.850220383727155</c:v>
                </c:pt>
                <c:pt idx="259">
                  <c:v>49.853555981094118</c:v>
                </c:pt>
                <c:pt idx="260">
                  <c:v>49.856817294589412</c:v>
                </c:pt>
                <c:pt idx="261">
                  <c:v>49.860005978517485</c:v>
                </c:pt>
                <c:pt idx="262">
                  <c:v>49.863123650341379</c:v>
                </c:pt>
                <c:pt idx="263">
                  <c:v>49.866171891503178</c:v>
                </c:pt>
                <c:pt idx="264">
                  <c:v>49.869152248226186</c:v>
                </c:pt>
                <c:pt idx="265">
                  <c:v>49.872066232299261</c:v>
                </c:pt>
                <c:pt idx="266">
                  <c:v>49.874915321843673</c:v>
                </c:pt>
                <c:pt idx="267">
                  <c:v>49.877700962062875</c:v>
                </c:pt>
                <c:pt idx="268">
                  <c:v>49.880424565975588</c:v>
                </c:pt>
                <c:pt idx="269">
                  <c:v>49.883087515132559</c:v>
                </c:pt>
                <c:pt idx="270">
                  <c:v>49.88569116031735</c:v>
                </c:pt>
                <c:pt idx="271">
                  <c:v>49.888236822231534</c:v>
                </c:pt>
                <c:pt idx="272">
                  <c:v>49.890725792164595</c:v>
                </c:pt>
                <c:pt idx="273">
                  <c:v>49.893159332648963</c:v>
                </c:pt>
                <c:pt idx="274">
                  <c:v>49.895538678100429</c:v>
                </c:pt>
                <c:pt idx="275">
                  <c:v>49.897865035444298</c:v>
                </c:pt>
                <c:pt idx="276">
                  <c:v>49.900139584727604</c:v>
                </c:pt>
                <c:pt idx="277">
                  <c:v>49.902363479717692</c:v>
                </c:pt>
                <c:pt idx="278">
                  <c:v>49.904537848487472</c:v>
                </c:pt>
                <c:pt idx="279">
                  <c:v>49.906663793987626</c:v>
                </c:pt>
                <c:pt idx="280">
                  <c:v>49.908742394606087</c:v>
                </c:pt>
                <c:pt idx="281">
                  <c:v>49.910774704715045</c:v>
                </c:pt>
                <c:pt idx="282">
                  <c:v>49.912761755205793</c:v>
                </c:pt>
                <c:pt idx="283">
                  <c:v>49.914704554011635</c:v>
                </c:pt>
                <c:pt idx="284">
                  <c:v>49.916604086619159</c:v>
                </c:pt>
                <c:pt idx="285">
                  <c:v>49.918461316568141</c:v>
                </c:pt>
                <c:pt idx="286">
                  <c:v>49.920277185940286</c:v>
                </c:pt>
                <c:pt idx="287">
                  <c:v>49.922052615837103</c:v>
                </c:pt>
                <c:pt idx="288">
                  <c:v>49.923788506847146</c:v>
                </c:pt>
                <c:pt idx="289">
                  <c:v>49.925485739502825</c:v>
                </c:pt>
                <c:pt idx="290">
                  <c:v>49.927145174727059</c:v>
                </c:pt>
                <c:pt idx="291">
                  <c:v>49.92876765426999</c:v>
                </c:pt>
                <c:pt idx="292">
                  <c:v>49.930354001135953</c:v>
                </c:pt>
                <c:pt idx="293">
                  <c:v>49.931905020000947</c:v>
                </c:pt>
                <c:pt idx="294">
                  <c:v>49.933421497620806</c:v>
                </c:pt>
                <c:pt idx="295">
                  <c:v>49.934904203230282</c:v>
                </c:pt>
                <c:pt idx="296">
                  <c:v>49.93635388893324</c:v>
                </c:pt>
                <c:pt idx="297">
                  <c:v>49.937771290084179</c:v>
                </c:pt>
                <c:pt idx="298">
                  <c:v>49.939157125661211</c:v>
                </c:pt>
                <c:pt idx="299">
                  <c:v>49.940512098630784</c:v>
                </c:pt>
                <c:pt idx="300">
                  <c:v>49.941836896304267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7-488A-A4C8-7213BD8AEC00}"/>
            </c:ext>
          </c:extLst>
        </c:ser>
        <c:ser>
          <c:idx val="2"/>
          <c:order val="2"/>
          <c:tx>
            <c:v>Variable Aileron Deflection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Sheet1!$H$6:$H$306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Sheet1!$K$6:$K$306</c:f>
              <c:numCache>
                <c:formatCode>General</c:formatCode>
                <c:ptCount val="301"/>
                <c:pt idx="0">
                  <c:v>0</c:v>
                </c:pt>
                <c:pt idx="1">
                  <c:v>3.9663153939347877</c:v>
                </c:pt>
                <c:pt idx="2">
                  <c:v>7.8443008033644501</c:v>
                </c:pt>
                <c:pt idx="3">
                  <c:v>11.635923340176914</c:v>
                </c:pt>
                <c:pt idx="4">
                  <c:v>15.34310630860859</c:v>
                </c:pt>
                <c:pt idx="5">
                  <c:v>18.967730180842324</c:v>
                </c:pt>
                <c:pt idx="6">
                  <c:v>22.511633550878756</c:v>
                </c:pt>
                <c:pt idx="7">
                  <c:v>25.976614067164913</c:v>
                </c:pt>
                <c:pt idx="8">
                  <c:v>29.364429344453146</c:v>
                </c:pt>
                <c:pt idx="9">
                  <c:v>32.67679785535293</c:v>
                </c:pt>
                <c:pt idx="10">
                  <c:v>35.915399802027778</c:v>
                </c:pt>
                <c:pt idx="11">
                  <c:v>39.081877968479425</c:v>
                </c:pt>
                <c:pt idx="12">
                  <c:v>42.177838553851615</c:v>
                </c:pt>
                <c:pt idx="13">
                  <c:v>45.204851987176198</c:v>
                </c:pt>
                <c:pt idx="14">
                  <c:v>48.164453723974773</c:v>
                </c:pt>
                <c:pt idx="15">
                  <c:v>48.205331404647289</c:v>
                </c:pt>
                <c:pt idx="16">
                  <c:v>48.245298737921324</c:v>
                </c:pt>
                <c:pt idx="17">
                  <c:v>48.284375997265741</c:v>
                </c:pt>
                <c:pt idx="18">
                  <c:v>48.322583004658512</c:v>
                </c:pt>
                <c:pt idx="19">
                  <c:v>48.359939140641472</c:v>
                </c:pt>
                <c:pt idx="20">
                  <c:v>48.396463354151102</c:v>
                </c:pt>
                <c:pt idx="21">
                  <c:v>48.432174172130388</c:v>
                </c:pt>
                <c:pt idx="22">
                  <c:v>48.467089708926636</c:v>
                </c:pt>
                <c:pt idx="23">
                  <c:v>48.501227675480003</c:v>
                </c:pt>
                <c:pt idx="24">
                  <c:v>48.534605388307384</c:v>
                </c:pt>
                <c:pt idx="25">
                  <c:v>48.567239778286215</c:v>
                </c:pt>
                <c:pt idx="26">
                  <c:v>48.599147399242696</c:v>
                </c:pt>
                <c:pt idx="27">
                  <c:v>48.630344436348743</c:v>
                </c:pt>
                <c:pt idx="28">
                  <c:v>48.660846714331903</c:v>
                </c:pt>
                <c:pt idx="29">
                  <c:v>48.690669705502479</c:v>
                </c:pt>
                <c:pt idx="30">
                  <c:v>48.719828537601892</c:v>
                </c:pt>
                <c:pt idx="31">
                  <c:v>48.748338001476206</c:v>
                </c:pt>
                <c:pt idx="32">
                  <c:v>48.776212558578834</c:v>
                </c:pt>
                <c:pt idx="33">
                  <c:v>48.803466348306095</c:v>
                </c:pt>
                <c:pt idx="34">
                  <c:v>48.83011319516946</c:v>
                </c:pt>
                <c:pt idx="35">
                  <c:v>48.856166615808036</c:v>
                </c:pt>
                <c:pt idx="36">
                  <c:v>48.881639825844893</c:v>
                </c:pt>
                <c:pt idx="37">
                  <c:v>48.906545746590716</c:v>
                </c:pt>
                <c:pt idx="38">
                  <c:v>48.930897011598134</c:v>
                </c:pt>
                <c:pt idx="39">
                  <c:v>48.954705973070112</c:v>
                </c:pt>
                <c:pt idx="40">
                  <c:v>48.977984708125625</c:v>
                </c:pt>
                <c:pt idx="41">
                  <c:v>49.000745024925777</c:v>
                </c:pt>
                <c:pt idx="42">
                  <c:v>49.022998468663495</c:v>
                </c:pt>
                <c:pt idx="43">
                  <c:v>49.044756327419861</c:v>
                </c:pt>
                <c:pt idx="44">
                  <c:v>49.06602963788999</c:v>
                </c:pt>
                <c:pt idx="45">
                  <c:v>49.086829190981398</c:v>
                </c:pt>
                <c:pt idx="46">
                  <c:v>49.10716553728772</c:v>
                </c:pt>
                <c:pt idx="47">
                  <c:v>49.127048992440486</c:v>
                </c:pt>
                <c:pt idx="48">
                  <c:v>49.146489642341749</c:v>
                </c:pt>
                <c:pt idx="49">
                  <c:v>49.165497348280162</c:v>
                </c:pt>
                <c:pt idx="50">
                  <c:v>49.184081751933135</c:v>
                </c:pt>
                <c:pt idx="51">
                  <c:v>49.202252280257582</c:v>
                </c:pt>
                <c:pt idx="52">
                  <c:v>49.220018150271756</c:v>
                </c:pt>
                <c:pt idx="53">
                  <c:v>49.237388373730568</c:v>
                </c:pt>
                <c:pt idx="54">
                  <c:v>49.254371761696845</c:v>
                </c:pt>
                <c:pt idx="55">
                  <c:v>49.270976929010722</c:v>
                </c:pt>
                <c:pt idx="56">
                  <c:v>49.287212298659547</c:v>
                </c:pt>
                <c:pt idx="57">
                  <c:v>49.303086106050436</c:v>
                </c:pt>
                <c:pt idx="58">
                  <c:v>49.318606403187701</c:v>
                </c:pt>
                <c:pt idx="59">
                  <c:v>49.333781062757225</c:v>
                </c:pt>
                <c:pt idx="60">
                  <c:v>49.348617782119902</c:v>
                </c:pt>
                <c:pt idx="61">
                  <c:v>49.363124087216121</c:v>
                </c:pt>
                <c:pt idx="62">
                  <c:v>49.377307336383325</c:v>
                </c:pt>
                <c:pt idx="63">
                  <c:v>49.391174724088508</c:v>
                </c:pt>
                <c:pt idx="64">
                  <c:v>49.404733284577624</c:v>
                </c:pt>
                <c:pt idx="65">
                  <c:v>49.417989895443739</c:v>
                </c:pt>
                <c:pt idx="66">
                  <c:v>49.430951281115661</c:v>
                </c:pt>
                <c:pt idx="67">
                  <c:v>49.443624016268942</c:v>
                </c:pt>
                <c:pt idx="68">
                  <c:v>49.456014529160868</c:v>
                </c:pt>
                <c:pt idx="69">
                  <c:v>49.468129104891204</c:v>
                </c:pt>
                <c:pt idx="70">
                  <c:v>49.479973888590337</c:v>
                </c:pt>
                <c:pt idx="71">
                  <c:v>49.491554888536363</c:v>
                </c:pt>
                <c:pt idx="72">
                  <c:v>49.502877979202822</c:v>
                </c:pt>
                <c:pt idx="73">
                  <c:v>49.513948904238518</c:v>
                </c:pt>
                <c:pt idx="74">
                  <c:v>49.524773279380987</c:v>
                </c:pt>
                <c:pt idx="75">
                  <c:v>49.535356595305103</c:v>
                </c:pt>
                <c:pt idx="76">
                  <c:v>49.545704220408204</c:v>
                </c:pt>
                <c:pt idx="77">
                  <c:v>49.555821403533237</c:v>
                </c:pt>
                <c:pt idx="78">
                  <c:v>49.565713276631229</c:v>
                </c:pt>
                <c:pt idx="79">
                  <c:v>49.575384857364469</c:v>
                </c:pt>
                <c:pt idx="80">
                  <c:v>49.584841051651736</c:v>
                </c:pt>
                <c:pt idx="81">
                  <c:v>49.594086656156826</c:v>
                </c:pt>
                <c:pt idx="82">
                  <c:v>49.603126360721653</c:v>
                </c:pt>
                <c:pt idx="83">
                  <c:v>49.611964750745187</c:v>
                </c:pt>
                <c:pt idx="84">
                  <c:v>49.620606309509405</c:v>
                </c:pt>
                <c:pt idx="85">
                  <c:v>49.62905542045344</c:v>
                </c:pt>
                <c:pt idx="86">
                  <c:v>49.637316369397062</c:v>
                </c:pt>
                <c:pt idx="87">
                  <c:v>49.645393346714705</c:v>
                </c:pt>
                <c:pt idx="88">
                  <c:v>49.653290449460997</c:v>
                </c:pt>
                <c:pt idx="89">
                  <c:v>49.661011683449026</c:v>
                </c:pt>
                <c:pt idx="90">
                  <c:v>49.668560965282275</c:v>
                </c:pt>
                <c:pt idx="91">
                  <c:v>49.675942124341333</c:v>
                </c:pt>
                <c:pt idx="92">
                  <c:v>49.683158904726341</c:v>
                </c:pt>
                <c:pt idx="93">
                  <c:v>49.690214967156201</c:v>
                </c:pt>
                <c:pt idx="94">
                  <c:v>49.69711389082547</c:v>
                </c:pt>
                <c:pt idx="95">
                  <c:v>49.703859175219925</c:v>
                </c:pt>
                <c:pt idx="96">
                  <c:v>49.710454241891668</c:v>
                </c:pt>
                <c:pt idx="97">
                  <c:v>49.716902436194708</c:v>
                </c:pt>
                <c:pt idx="98">
                  <c:v>49.723207028981911</c:v>
                </c:pt>
                <c:pt idx="99">
                  <c:v>49.72937121826412</c:v>
                </c:pt>
                <c:pt idx="100">
                  <c:v>49.735398130832372</c:v>
                </c:pt>
                <c:pt idx="101">
                  <c:v>49.741290823843961</c:v>
                </c:pt>
                <c:pt idx="102">
                  <c:v>49.747052286373176</c:v>
                </c:pt>
                <c:pt idx="103">
                  <c:v>49.752685440927507</c:v>
                </c:pt>
                <c:pt idx="104">
                  <c:v>49.758193144930111</c:v>
                </c:pt>
                <c:pt idx="105">
                  <c:v>49.76357819216922</c:v>
                </c:pt>
                <c:pt idx="106">
                  <c:v>49.76884331421531</c:v>
                </c:pt>
                <c:pt idx="107">
                  <c:v>49.773991181806686</c:v>
                </c:pt>
                <c:pt idx="108">
                  <c:v>49.779024406204215</c:v>
                </c:pt>
                <c:pt idx="109">
                  <c:v>49.78394554051588</c:v>
                </c:pt>
                <c:pt idx="110">
                  <c:v>49.788757080991878</c:v>
                </c:pt>
                <c:pt idx="111">
                  <c:v>49.793461468290815</c:v>
                </c:pt>
                <c:pt idx="112">
                  <c:v>49.798061088717745</c:v>
                </c:pt>
                <c:pt idx="113">
                  <c:v>49.80255827543462</c:v>
                </c:pt>
                <c:pt idx="114">
                  <c:v>49.806955309643797</c:v>
                </c:pt>
                <c:pt idx="115">
                  <c:v>49.811254421745176</c:v>
                </c:pt>
                <c:pt idx="116">
                  <c:v>49.815457792467576</c:v>
                </c:pt>
                <c:pt idx="117">
                  <c:v>49.819567553974892</c:v>
                </c:pt>
                <c:pt idx="118">
                  <c:v>49.823585790947675</c:v>
                </c:pt>
                <c:pt idx="119">
                  <c:v>49.827514541640546</c:v>
                </c:pt>
                <c:pt idx="120">
                  <c:v>49.831355798916142</c:v>
                </c:pt>
                <c:pt idx="121">
                  <c:v>49.83511151125596</c:v>
                </c:pt>
                <c:pt idx="122">
                  <c:v>49.838783583748757</c:v>
                </c:pt>
                <c:pt idx="123">
                  <c:v>49.842373879056893</c:v>
                </c:pt>
                <c:pt idx="124">
                  <c:v>49.845884218361178</c:v>
                </c:pt>
                <c:pt idx="125">
                  <c:v>49.849316382284641</c:v>
                </c:pt>
                <c:pt idx="126">
                  <c:v>49.852672111795798</c:v>
                </c:pt>
                <c:pt idx="127">
                  <c:v>49.855953109091715</c:v>
                </c:pt>
                <c:pt idx="128">
                  <c:v>49.85916103846148</c:v>
                </c:pt>
                <c:pt idx="129">
                  <c:v>49.862297527130394</c:v>
                </c:pt>
                <c:pt idx="130">
                  <c:v>49.865364166085399</c:v>
                </c:pt>
                <c:pt idx="131">
                  <c:v>49.868362510882108</c:v>
                </c:pt>
                <c:pt idx="132">
                  <c:v>49.871294082433842</c:v>
                </c:pt>
                <c:pt idx="133">
                  <c:v>49.874160367783141</c:v>
                </c:pt>
                <c:pt idx="134">
                  <c:v>49.876962820856043</c:v>
                </c:pt>
                <c:pt idx="135">
                  <c:v>49.879702863199611</c:v>
                </c:pt>
                <c:pt idx="136">
                  <c:v>49.882381884703001</c:v>
                </c:pt>
                <c:pt idx="137">
                  <c:v>49.885001244302494</c:v>
                </c:pt>
                <c:pt idx="138">
                  <c:v>49.887562270670799</c:v>
                </c:pt>
                <c:pt idx="139">
                  <c:v>49.89006626289104</c:v>
                </c:pt>
                <c:pt idx="140">
                  <c:v>49.892514491115719</c:v>
                </c:pt>
                <c:pt idx="141">
                  <c:v>49.894908197211002</c:v>
                </c:pt>
                <c:pt idx="142">
                  <c:v>49.897248595386642</c:v>
                </c:pt>
                <c:pt idx="143">
                  <c:v>49.899536872811893</c:v>
                </c:pt>
                <c:pt idx="144">
                  <c:v>49.901774190217722</c:v>
                </c:pt>
                <c:pt idx="145">
                  <c:v>49.903961682485566</c:v>
                </c:pt>
                <c:pt idx="146">
                  <c:v>49.906100459223019</c:v>
                </c:pt>
                <c:pt idx="147">
                  <c:v>49.908191605326671</c:v>
                </c:pt>
                <c:pt idx="148">
                  <c:v>49.910236181532419</c:v>
                </c:pt>
                <c:pt idx="149">
                  <c:v>49.912235224953548</c:v>
                </c:pt>
                <c:pt idx="150">
                  <c:v>49.914189749606784</c:v>
                </c:pt>
                <c:pt idx="151">
                  <c:v>49.916100746926666</c:v>
                </c:pt>
                <c:pt idx="152">
                  <c:v>49.917969186268451</c:v>
                </c:pt>
                <c:pt idx="153">
                  <c:v>49.919796015399825</c:v>
                </c:pt>
                <c:pt idx="154">
                  <c:v>49.921582160981643</c:v>
                </c:pt>
                <c:pt idx="155">
                  <c:v>49.923328529038002</c:v>
                </c:pt>
                <c:pt idx="156">
                  <c:v>49.925036005415805</c:v>
                </c:pt>
                <c:pt idx="157">
                  <c:v>49.92670545623411</c:v>
                </c:pt>
                <c:pt idx="158">
                  <c:v>49.928337728323477</c:v>
                </c:pt>
                <c:pt idx="159">
                  <c:v>49.929933649655517</c:v>
                </c:pt>
                <c:pt idx="160">
                  <c:v>49.931494029762888</c:v>
                </c:pt>
                <c:pt idx="161">
                  <c:v>49.933019660149924</c:v>
                </c:pt>
                <c:pt idx="162">
                  <c:v>49.934511314694127</c:v>
                </c:pt>
                <c:pt idx="163">
                  <c:v>49.935969750038723</c:v>
                </c:pt>
                <c:pt idx="164">
                  <c:v>49.937395705976463</c:v>
                </c:pt>
                <c:pt idx="165">
                  <c:v>49.938789905824898</c:v>
                </c:pt>
                <c:pt idx="166">
                  <c:v>49.94015305679325</c:v>
                </c:pt>
                <c:pt idx="167">
                  <c:v>49.941485850341188</c:v>
                </c:pt>
                <c:pt idx="168">
                  <c:v>49.942788962529541</c:v>
                </c:pt>
                <c:pt idx="169">
                  <c:v>49.944063054363241</c:v>
                </c:pt>
                <c:pt idx="170">
                  <c:v>49.945308772126616</c:v>
                </c:pt>
                <c:pt idx="171">
                  <c:v>49.946526747711211</c:v>
                </c:pt>
                <c:pt idx="172">
                  <c:v>49.947717598936336</c:v>
                </c:pt>
                <c:pt idx="173">
                  <c:v>49.948881929862438</c:v>
                </c:pt>
                <c:pt idx="174">
                  <c:v>49.950020331097519</c:v>
                </c:pt>
                <c:pt idx="175">
                  <c:v>49.951133380096721</c:v>
                </c:pt>
                <c:pt idx="176">
                  <c:v>49.952221641455232</c:v>
                </c:pt>
                <c:pt idx="177">
                  <c:v>49.953285667194685</c:v>
                </c:pt>
                <c:pt idx="178">
                  <c:v>49.954325997043178</c:v>
                </c:pt>
                <c:pt idx="179">
                  <c:v>49.955343158709049</c:v>
                </c:pt>
                <c:pt idx="180">
                  <c:v>49.956337668148542</c:v>
                </c:pt>
                <c:pt idx="181">
                  <c:v>49.957310029827546</c:v>
                </c:pt>
                <c:pt idx="182">
                  <c:v>49.958260736977465</c:v>
                </c:pt>
                <c:pt idx="183">
                  <c:v>49.959190271845436</c:v>
                </c:pt>
                <c:pt idx="184">
                  <c:v>49.96009910593893</c:v>
                </c:pt>
                <c:pt idx="185">
                  <c:v>49.960987700264923</c:v>
                </c:pt>
                <c:pt idx="186">
                  <c:v>49.961856505563759</c:v>
                </c:pt>
                <c:pt idx="187">
                  <c:v>49.962705962537775</c:v>
                </c:pt>
                <c:pt idx="188">
                  <c:v>49.963536502074852</c:v>
                </c:pt>
                <c:pt idx="189">
                  <c:v>49.964348545466976</c:v>
                </c:pt>
                <c:pt idx="190">
                  <c:v>49.965142504623955</c:v>
                </c:pt>
                <c:pt idx="191">
                  <c:v>49.965918782282351</c:v>
                </c:pt>
                <c:pt idx="192">
                  <c:v>49.966677772209756</c:v>
                </c:pt>
                <c:pt idx="193">
                  <c:v>49.967419859404558</c:v>
                </c:pt>
                <c:pt idx="194">
                  <c:v>49.968145420291208</c:v>
                </c:pt>
                <c:pt idx="195">
                  <c:v>49.968854822911183</c:v>
                </c:pt>
                <c:pt idx="196">
                  <c:v>49.969548427109643</c:v>
                </c:pt>
                <c:pt idx="197">
                  <c:v>49.970226584718006</c:v>
                </c:pt>
                <c:pt idx="198">
                  <c:v>49.970889639732377</c:v>
                </c:pt>
                <c:pt idx="199">
                  <c:v>49.971537928488061</c:v>
                </c:pt>
                <c:pt idx="200">
                  <c:v>49.972171779830163</c:v>
                </c:pt>
                <c:pt idx="201">
                  <c:v>49.972791515280392</c:v>
                </c:pt>
                <c:pt idx="202">
                  <c:v>49.973397449200164</c:v>
                </c:pt>
                <c:pt idx="203">
                  <c:v>49.973989888950051</c:v>
                </c:pt>
                <c:pt idx="204">
                  <c:v>49.974569135045691</c:v>
                </c:pt>
                <c:pt idx="205">
                  <c:v>49.97513548131024</c:v>
                </c:pt>
                <c:pt idx="206">
                  <c:v>49.975689215023387</c:v>
                </c:pt>
                <c:pt idx="207">
                  <c:v>49.976230617067102</c:v>
                </c:pt>
                <c:pt idx="208">
                  <c:v>49.976759962068101</c:v>
                </c:pt>
                <c:pt idx="209">
                  <c:v>49.97727751853715</c:v>
                </c:pt>
                <c:pt idx="210">
                  <c:v>49.977783549005274</c:v>
                </c:pt>
                <c:pt idx="211">
                  <c:v>49.978278310156924</c:v>
                </c:pt>
                <c:pt idx="212">
                  <c:v>49.978762052960178</c:v>
                </c:pt>
                <c:pt idx="213">
                  <c:v>49.97923502279405</c:v>
                </c:pt>
                <c:pt idx="214">
                  <c:v>49.979697459572947</c:v>
                </c:pt>
                <c:pt idx="215">
                  <c:v>49.980149597868376</c:v>
                </c:pt>
                <c:pt idx="216">
                  <c:v>49.980591667027923</c:v>
                </c:pt>
                <c:pt idx="217">
                  <c:v>49.981023891291613</c:v>
                </c:pt>
                <c:pt idx="218">
                  <c:v>49.981446489905615</c:v>
                </c:pt>
                <c:pt idx="219">
                  <c:v>49.981859677233494</c:v>
                </c:pt>
                <c:pt idx="220">
                  <c:v>49.982263662864931</c:v>
                </c:pt>
                <c:pt idx="221">
                  <c:v>49.982658651722026</c:v>
                </c:pt>
                <c:pt idx="222">
                  <c:v>49.98304484416326</c:v>
                </c:pt>
                <c:pt idx="223">
                  <c:v>49.983422436085128</c:v>
                </c:pt>
                <c:pt idx="224">
                  <c:v>49.983791619021503</c:v>
                </c:pt>
                <c:pt idx="225">
                  <c:v>49.984152580240796</c:v>
                </c:pt>
                <c:pt idx="226">
                  <c:v>49.984505502840932</c:v>
                </c:pt>
                <c:pt idx="227">
                  <c:v>49.984850565842244</c:v>
                </c:pt>
                <c:pt idx="228">
                  <c:v>49.985187944278273</c:v>
                </c:pt>
                <c:pt idx="229">
                  <c:v>49.985517809284566</c:v>
                </c:pt>
                <c:pt idx="230">
                  <c:v>49.985840328185468</c:v>
                </c:pt>
                <c:pt idx="231">
                  <c:v>49.986155664579009</c:v>
                </c:pt>
                <c:pt idx="232">
                  <c:v>49.986463978419884</c:v>
                </c:pt>
                <c:pt idx="233">
                  <c:v>49.986765426100582</c:v>
                </c:pt>
                <c:pt idx="234">
                  <c:v>49.987060160530746</c:v>
                </c:pt>
                <c:pt idx="235">
                  <c:v>49.98734833121469</c:v>
                </c:pt>
                <c:pt idx="236">
                  <c:v>49.987630084327286</c:v>
                </c:pt>
                <c:pt idx="237">
                  <c:v>49.987905562788072</c:v>
                </c:pt>
                <c:pt idx="238">
                  <c:v>49.988174906333761</c:v>
                </c:pt>
                <c:pt idx="239">
                  <c:v>49.988438251589137</c:v>
                </c:pt>
                <c:pt idx="240">
                  <c:v>49.988695732136335</c:v>
                </c:pt>
                <c:pt idx="241">
                  <c:v>49.98894747858261</c:v>
                </c:pt>
                <c:pt idx="242">
                  <c:v>49.989193618626601</c:v>
                </c:pt>
                <c:pt idx="243">
                  <c:v>49.989434277123081</c:v>
                </c:pt>
                <c:pt idx="244">
                  <c:v>49.989669576146305</c:v>
                </c:pt>
                <c:pt idx="245">
                  <c:v>49.989899635051941</c:v>
                </c:pt>
                <c:pt idx="246">
                  <c:v>49.990124570537589</c:v>
                </c:pt>
                <c:pt idx="247">
                  <c:v>49.990344496701994</c:v>
                </c:pt>
                <c:pt idx="248">
                  <c:v>49.990559525102917</c:v>
                </c:pt>
                <c:pt idx="249">
                  <c:v>49.99076976481372</c:v>
                </c:pt>
                <c:pt idx="250">
                  <c:v>49.990975322478711</c:v>
                </c:pt>
                <c:pt idx="251">
                  <c:v>49.991176302367208</c:v>
                </c:pt>
                <c:pt idx="252">
                  <c:v>49.991372806426462</c:v>
                </c:pt>
                <c:pt idx="253">
                  <c:v>49.991564934333347</c:v>
                </c:pt>
                <c:pt idx="254">
                  <c:v>49.991752783544932</c:v>
                </c:pt>
                <c:pt idx="255">
                  <c:v>49.991936449347911</c:v>
                </c:pt>
                <c:pt idx="256">
                  <c:v>49.992116024906942</c:v>
                </c:pt>
                <c:pt idx="257">
                  <c:v>49.992291601311905</c:v>
                </c:pt>
                <c:pt idx="258">
                  <c:v>49.992463267624103</c:v>
                </c:pt>
                <c:pt idx="259">
                  <c:v>49.992631110921437</c:v>
                </c:pt>
                <c:pt idx="260">
                  <c:v>49.992795216342586</c:v>
                </c:pt>
                <c:pt idx="261">
                  <c:v>49.992955667130182</c:v>
                </c:pt>
                <c:pt idx="262">
                  <c:v>49.993112544673053</c:v>
                </c:pt>
                <c:pt idx="263">
                  <c:v>49.99326592854748</c:v>
                </c:pt>
                <c:pt idx="264">
                  <c:v>49.993415896557579</c:v>
                </c:pt>
                <c:pt idx="265">
                  <c:v>49.993562524774774</c:v>
                </c:pt>
                <c:pt idx="266">
                  <c:v>49.993705887576368</c:v>
                </c:pt>
                <c:pt idx="267">
                  <c:v>49.993846057683292</c:v>
                </c:pt>
                <c:pt idx="268">
                  <c:v>49.993983106196964</c:v>
                </c:pt>
                <c:pt idx="269">
                  <c:v>49.994117102635371</c:v>
                </c:pt>
                <c:pt idx="270">
                  <c:v>49.994248114968343</c:v>
                </c:pt>
                <c:pt idx="271">
                  <c:v>49.99437620965201</c:v>
                </c:pt>
                <c:pt idx="272">
                  <c:v>49.994501451662529</c:v>
                </c:pt>
                <c:pt idx="273">
                  <c:v>49.994623904529035</c:v>
                </c:pt>
                <c:pt idx="274">
                  <c:v>49.994743630365861</c:v>
                </c:pt>
                <c:pt idx="275">
                  <c:v>49.994860689904051</c:v>
                </c:pt>
                <c:pt idx="276">
                  <c:v>49.994975142522172</c:v>
                </c:pt>
                <c:pt idx="277">
                  <c:v>49.995087046276431</c:v>
                </c:pt>
                <c:pt idx="278">
                  <c:v>49.995196457930113</c:v>
                </c:pt>
                <c:pt idx="279">
                  <c:v>49.995303432982389</c:v>
                </c:pt>
                <c:pt idx="280">
                  <c:v>49.995408025696456</c:v>
                </c:pt>
                <c:pt idx="281">
                  <c:v>49.995510289127068</c:v>
                </c:pt>
                <c:pt idx="282">
                  <c:v>49.995610275147456</c:v>
                </c:pt>
                <c:pt idx="283">
                  <c:v>49.995708034475619</c:v>
                </c:pt>
                <c:pt idx="284">
                  <c:v>49.99580361670008</c:v>
                </c:pt>
                <c:pt idx="285">
                  <c:v>49.995897070305013</c:v>
                </c:pt>
                <c:pt idx="286">
                  <c:v>49.995988442694845</c:v>
                </c:pt>
                <c:pt idx="287">
                  <c:v>49.996077780218315</c:v>
                </c:pt>
                <c:pt idx="288">
                  <c:v>49.996165128191969</c:v>
                </c:pt>
                <c:pt idx="289">
                  <c:v>49.996250530923156</c:v>
                </c:pt>
                <c:pt idx="290">
                  <c:v>49.996334031732488</c:v>
                </c:pt>
                <c:pt idx="291">
                  <c:v>49.996415672975836</c:v>
                </c:pt>
                <c:pt idx="292">
                  <c:v>49.996495496065798</c:v>
                </c:pt>
                <c:pt idx="293">
                  <c:v>49.996573541492715</c:v>
                </c:pt>
                <c:pt idx="294">
                  <c:v>49.996649848845209</c:v>
                </c:pt>
                <c:pt idx="295">
                  <c:v>49.99672445683025</c:v>
                </c:pt>
                <c:pt idx="296">
                  <c:v>49.996797403292824</c:v>
                </c:pt>
                <c:pt idx="297">
                  <c:v>49.996868725235089</c:v>
                </c:pt>
                <c:pt idx="298">
                  <c:v>49.996938458835167</c:v>
                </c:pt>
                <c:pt idx="299">
                  <c:v>49.997006639465496</c:v>
                </c:pt>
                <c:pt idx="300">
                  <c:v>49.99707330171077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7-488A-A4C8-7213BD8AE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13743"/>
        <c:axId val="823990223"/>
      </c:scatterChart>
      <c:valAx>
        <c:axId val="82401374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[s]</a:t>
                </a:r>
                <a:endParaRPr 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3990223"/>
        <c:crosses val="autoZero"/>
        <c:crossBetween val="midCat"/>
      </c:valAx>
      <c:valAx>
        <c:axId val="82399022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Rolling Rate, </a:t>
                </a:r>
                <a:r>
                  <a:rPr lang="en-US" sz="1600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[deg/s]</a:t>
                </a:r>
              </a:p>
            </c:rich>
          </c:tx>
          <c:layout>
            <c:manualLayout>
              <c:xMode val="edge"/>
              <c:yMode val="edge"/>
              <c:x val="2.4180634883555031E-2"/>
              <c:y val="0.234119632909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4013743"/>
        <c:crosses val="autoZero"/>
        <c:crossBetween val="midCat"/>
        <c:maj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176511381282031"/>
          <c:y val="0.54685365477958658"/>
          <c:w val="0.40985880758519827"/>
          <c:h val="0.23461269659806122"/>
        </c:manualLayout>
      </c:layout>
      <c:overlay val="0"/>
      <c:spPr>
        <a:solidFill>
          <a:schemeClr val="bg1"/>
        </a:solidFill>
        <a:ln w="19050">
          <a:solidFill>
            <a:schemeClr val="dk1"/>
          </a:soli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8956118566963"/>
          <c:y val="3.1849676898883975E-2"/>
          <c:w val="0.83826328154029006"/>
          <c:h val="0.79459397771748719"/>
        </c:manualLayout>
      </c:layout>
      <c:scatterChart>
        <c:scatterStyle val="lineMarker"/>
        <c:varyColors val="0"/>
        <c:ser>
          <c:idx val="1"/>
          <c:order val="0"/>
          <c:tx>
            <c:v>PID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dk1"/>
                </a:solidFill>
              </a:ln>
              <a:effectLst/>
            </c:spPr>
          </c:marker>
          <c:xVal>
            <c:numRef>
              <c:f>Sheet1!$M$6:$M$306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Sheet1!$N$6:$N$306</c:f>
              <c:numCache>
                <c:formatCode>General</c:formatCode>
                <c:ptCount val="301"/>
                <c:pt idx="0">
                  <c:v>0</c:v>
                </c:pt>
                <c:pt idx="1">
                  <c:v>3.9663153939347877</c:v>
                </c:pt>
                <c:pt idx="2">
                  <c:v>7.8443008033644501</c:v>
                </c:pt>
                <c:pt idx="3">
                  <c:v>11.635923340176914</c:v>
                </c:pt>
                <c:pt idx="4">
                  <c:v>15.34310630860859</c:v>
                </c:pt>
                <c:pt idx="5">
                  <c:v>18.967730180842324</c:v>
                </c:pt>
                <c:pt idx="6">
                  <c:v>22.511633550878756</c:v>
                </c:pt>
                <c:pt idx="7">
                  <c:v>25.976614067164913</c:v>
                </c:pt>
                <c:pt idx="8">
                  <c:v>29.364429344453146</c:v>
                </c:pt>
                <c:pt idx="9">
                  <c:v>32.67679785535293</c:v>
                </c:pt>
                <c:pt idx="10">
                  <c:v>35.915399802027778</c:v>
                </c:pt>
                <c:pt idx="11">
                  <c:v>39.081877968479425</c:v>
                </c:pt>
                <c:pt idx="12">
                  <c:v>42.177838553851615</c:v>
                </c:pt>
                <c:pt idx="13">
                  <c:v>45.204851987176198</c:v>
                </c:pt>
                <c:pt idx="14">
                  <c:v>48.164453723974773</c:v>
                </c:pt>
                <c:pt idx="15">
                  <c:v>51.058145025120012</c:v>
                </c:pt>
                <c:pt idx="16">
                  <c:v>53.88739371835171</c:v>
                </c:pt>
                <c:pt idx="17">
                  <c:v>56.653634942833833</c:v>
                </c:pt>
                <c:pt idx="18">
                  <c:v>59.358271877130264</c:v>
                </c:pt>
                <c:pt idx="19">
                  <c:v>62.002676450968494</c:v>
                </c:pt>
                <c:pt idx="20">
                  <c:v>64.588190041152316</c:v>
                </c:pt>
                <c:pt idx="21">
                  <c:v>67.11612415197655</c:v>
                </c:pt>
                <c:pt idx="22">
                  <c:v>67.871910163817844</c:v>
                </c:pt>
                <c:pt idx="23">
                  <c:v>67.20890168409413</c:v>
                </c:pt>
                <c:pt idx="24">
                  <c:v>65.58208905251044</c:v>
                </c:pt>
                <c:pt idx="25">
                  <c:v>63.28816732579061</c:v>
                </c:pt>
                <c:pt idx="26">
                  <c:v>60.561413446623135</c:v>
                </c:pt>
                <c:pt idx="27">
                  <c:v>57.573605152003381</c:v>
                </c:pt>
                <c:pt idx="28">
                  <c:v>54.452423695661587</c:v>
                </c:pt>
                <c:pt idx="29">
                  <c:v>51.291010724386631</c:v>
                </c:pt>
                <c:pt idx="30">
                  <c:v>48.156470397563695</c:v>
                </c:pt>
                <c:pt idx="31">
                  <c:v>45.096116922410019</c:v>
                </c:pt>
                <c:pt idx="32">
                  <c:v>42.142343105082801</c:v>
                </c:pt>
                <c:pt idx="33">
                  <c:v>39.316335950807215</c:v>
                </c:pt>
                <c:pt idx="34">
                  <c:v>36.630926184061401</c:v>
                </c:pt>
                <c:pt idx="35">
                  <c:v>34.092765062033173</c:v>
                </c:pt>
                <c:pt idx="36">
                  <c:v>31.703984727466938</c:v>
                </c:pt>
                <c:pt idx="37">
                  <c:v>29.463460913346893</c:v>
                </c:pt>
                <c:pt idx="38">
                  <c:v>27.367770092447131</c:v>
                </c:pt>
                <c:pt idx="39">
                  <c:v>25.411911986609653</c:v>
                </c:pt>
                <c:pt idx="40">
                  <c:v>23.589852135554473</c:v>
                </c:pt>
                <c:pt idx="41">
                  <c:v>21.89492667286784</c:v>
                </c:pt>
                <c:pt idx="42">
                  <c:v>20.320141776324188</c:v>
                </c:pt>
                <c:pt idx="43">
                  <c:v>18.858392786427501</c:v>
                </c:pt>
                <c:pt idx="44">
                  <c:v>17.502622221037495</c:v>
                </c:pt>
                <c:pt idx="45">
                  <c:v>16.245931465651211</c:v>
                </c:pt>
                <c:pt idx="46">
                  <c:v>15.081657488287215</c:v>
                </c:pt>
                <c:pt idx="47">
                  <c:v>14.003423282994051</c:v>
                </c:pt>
                <c:pt idx="48">
                  <c:v>13.005168707654866</c:v>
                </c:pt>
                <c:pt idx="49">
                  <c:v>12.081166811625147</c:v>
                </c:pt>
                <c:pt idx="50">
                  <c:v>11.226029539965959</c:v>
                </c:pt>
                <c:pt idx="51">
                  <c:v>10.434705771095537</c:v>
                </c:pt>
                <c:pt idx="52">
                  <c:v>9.702473929851962</c:v>
                </c:pt>
                <c:pt idx="53">
                  <c:v>9.0249308690294736</c:v>
                </c:pt>
                <c:pt idx="54">
                  <c:v>8.397978291427334</c:v>
                </c:pt>
                <c:pt idx="55">
                  <c:v>7.8178076620018881</c:v>
                </c:pt>
                <c:pt idx="56">
                  <c:v>7.2808843131976113</c:v>
                </c:pt>
                <c:pt idx="57">
                  <c:v>6.7839312584774101</c:v>
                </c:pt>
                <c:pt idx="58">
                  <c:v>6.3239130859931443</c:v>
                </c:pt>
                <c:pt idx="59">
                  <c:v>5.8980201958307976</c:v>
                </c:pt>
                <c:pt idx="60">
                  <c:v>5.5036535623096112</c:v>
                </c:pt>
                <c:pt idx="61">
                  <c:v>5.1384101412243126</c:v>
                </c:pt>
                <c:pt idx="62">
                  <c:v>4.8000689959278287</c:v>
                </c:pt>
                <c:pt idx="63">
                  <c:v>4.4865781820858306</c:v>
                </c:pt>
                <c:pt idx="64">
                  <c:v>4.1960424059676491</c:v>
                </c:pt>
                <c:pt idx="65">
                  <c:v>3.9267114530941871</c:v>
                </c:pt>
                <c:pt idx="66">
                  <c:v>3.6769693712714044</c:v>
                </c:pt>
                <c:pt idx="67">
                  <c:v>3.445324383212824</c:v>
                </c:pt>
                <c:pt idx="68">
                  <c:v>3.2303994981113178</c:v>
                </c:pt>
                <c:pt idx="69">
                  <c:v>3.0309237879050013</c:v>
                </c:pt>
                <c:pt idx="70">
                  <c:v>2.8457242920170556</c:v>
                </c:pt>
                <c:pt idx="71">
                  <c:v>2.6737185135944235</c:v>
                </c:pt>
                <c:pt idx="72">
                  <c:v>2.5139074703910942</c:v>
                </c:pt>
                <c:pt idx="73">
                  <c:v>2.3653692641833386</c:v>
                </c:pt>
                <c:pt idx="74">
                  <c:v>2.2272531337751102</c:v>
                </c:pt>
                <c:pt idx="75">
                  <c:v>2.09877395810746</c:v>
                </c:pt>
                <c:pt idx="76">
                  <c:v>1.9792071776181375</c:v>
                </c:pt>
                <c:pt idx="77">
                  <c:v>1.8678841037270697</c:v>
                </c:pt>
                <c:pt idx="78">
                  <c:v>1.7641875880907008</c:v>
                </c:pt>
                <c:pt idx="79">
                  <c:v>1.6675480250316947</c:v>
                </c:pt>
                <c:pt idx="80">
                  <c:v>1.577439662279231</c:v>
                </c:pt>
                <c:pt idx="81">
                  <c:v>1.4933771968287863</c:v>
                </c:pt>
                <c:pt idx="82">
                  <c:v>1.4149126343347724</c:v>
                </c:pt>
                <c:pt idx="83">
                  <c:v>1.3416323919761097</c:v>
                </c:pt>
                <c:pt idx="84">
                  <c:v>1.2731546261788724</c:v>
                </c:pt>
                <c:pt idx="85">
                  <c:v>1.2091267679398114</c:v>
                </c:pt>
                <c:pt idx="86">
                  <c:v>1.149223249769753</c:v>
                </c:pt>
                <c:pt idx="87">
                  <c:v>1.093143409468508</c:v>
                </c:pt>
                <c:pt idx="88">
                  <c:v>1.0406095570549736</c:v>
                </c:pt>
                <c:pt idx="89">
                  <c:v>0.99136519221185826</c:v>
                </c:pt>
                <c:pt idx="90">
                  <c:v>0.94517336056650658</c:v>
                </c:pt>
                <c:pt idx="91">
                  <c:v>0.90181513802235524</c:v>
                </c:pt>
                <c:pt idx="92">
                  <c:v>0.86108823318357874</c:v>
                </c:pt>
                <c:pt idx="93">
                  <c:v>0.82280569868185482</c:v>
                </c:pt>
                <c:pt idx="94">
                  <c:v>0.78679474292397422</c:v>
                </c:pt>
                <c:pt idx="95">
                  <c:v>0.7528956344349248</c:v>
                </c:pt>
                <c:pt idx="96">
                  <c:v>0.7209606915777057</c:v>
                </c:pt>
                <c:pt idx="97">
                  <c:v>0.6908533509913225</c:v>
                </c:pt>
                <c:pt idx="98">
                  <c:v>0.66244730860593715</c:v>
                </c:pt>
                <c:pt idx="99">
                  <c:v>0.63562572757186331</c:v>
                </c:pt>
                <c:pt idx="100">
                  <c:v>0.61028050788009325</c:v>
                </c:pt>
                <c:pt idx="101">
                  <c:v>0.58631161285883282</c:v>
                </c:pt>
                <c:pt idx="102">
                  <c:v>0.5636264481061779</c:v>
                </c:pt>
                <c:pt idx="103">
                  <c:v>0.54213928876516049</c:v>
                </c:pt>
                <c:pt idx="104">
                  <c:v>0.52177075136702855</c:v>
                </c:pt>
                <c:pt idx="105">
                  <c:v>0.50244730676314842</c:v>
                </c:pt>
                <c:pt idx="106">
                  <c:v>0.48410083093761475</c:v>
                </c:pt>
                <c:pt idx="107">
                  <c:v>0.46666819074323657</c:v>
                </c:pt>
                <c:pt idx="108">
                  <c:v>0.4500908618345888</c:v>
                </c:pt>
                <c:pt idx="109">
                  <c:v>0.43431457628471803</c:v>
                </c:pt>
                <c:pt idx="110">
                  <c:v>0.41928899756860488</c:v>
                </c:pt>
                <c:pt idx="111">
                  <c:v>0.40496742077743553</c:v>
                </c:pt>
                <c:pt idx="112">
                  <c:v>0.39130649609467155</c:v>
                </c:pt>
                <c:pt idx="113">
                  <c:v>0.3782659737189068</c:v>
                </c:pt>
                <c:pt idx="114">
                  <c:v>0.36580846856005411</c:v>
                </c:pt>
                <c:pt idx="115">
                  <c:v>0.35389924316657584</c:v>
                </c:pt>
                <c:pt idx="116">
                  <c:v>0.34250600746167492</c:v>
                </c:pt>
                <c:pt idx="117">
                  <c:v>0.33159873397768341</c:v>
                </c:pt>
                <c:pt idx="118">
                  <c:v>0.32114948738028742</c:v>
                </c:pt>
                <c:pt idx="119">
                  <c:v>0.31113226716862397</c:v>
                </c:pt>
                <c:pt idx="120">
                  <c:v>0.30152286252441224</c:v>
                </c:pt>
                <c:pt idx="121">
                  <c:v>0.29229871836335153</c:v>
                </c:pt>
                <c:pt idx="122">
                  <c:v>0.28343881171625118</c:v>
                </c:pt>
                <c:pt idx="123">
                  <c:v>0.27492353763531679</c:v>
                </c:pt>
                <c:pt idx="124">
                  <c:v>0.26673460388395887</c:v>
                </c:pt>
                <c:pt idx="125">
                  <c:v>0.25885493372641144</c:v>
                </c:pt>
                <c:pt idx="126">
                  <c:v>0.25126857618691389</c:v>
                </c:pt>
                <c:pt idx="127">
                  <c:v>0.24396062319734596</c:v>
                </c:pt>
                <c:pt idx="128">
                  <c:v>0.23691713309762288</c:v>
                </c:pt>
                <c:pt idx="129">
                  <c:v>0.23012505999502034</c:v>
                </c:pt>
                <c:pt idx="130">
                  <c:v>0.22357218852717806</c:v>
                </c:pt>
                <c:pt idx="131">
                  <c:v>0.21724707360894491</c:v>
                </c:pt>
                <c:pt idx="132">
                  <c:v>0.21113898477617096</c:v>
                </c:pt>
                <c:pt idx="133">
                  <c:v>0.20523785476964762</c:v>
                </c:pt>
                <c:pt idx="134">
                  <c:v>0.19953423203025689</c:v>
                </c:pt>
                <c:pt idx="135">
                  <c:v>0.19401923680211225</c:v>
                </c:pt>
                <c:pt idx="136">
                  <c:v>0.18868452056399912</c:v>
                </c:pt>
                <c:pt idx="137">
                  <c:v>0.18352222853146061</c:v>
                </c:pt>
                <c:pt idx="138">
                  <c:v>0.17852496499171611</c:v>
                </c:pt>
                <c:pt idx="139">
                  <c:v>0.1736857612523329</c:v>
                </c:pt>
                <c:pt idx="140">
                  <c:v>0.16899804600159402</c:v>
                </c:pt>
                <c:pt idx="141">
                  <c:v>0.16445561789417606</c:v>
                </c:pt>
                <c:pt idx="142">
                  <c:v>0.1600526201904599</c:v>
                </c:pt>
                <c:pt idx="143">
                  <c:v>0.15578351729090559</c:v>
                </c:pt>
                <c:pt idx="144">
                  <c:v>0.15164307301960611</c:v>
                </c:pt>
                <c:pt idx="145">
                  <c:v>0.1476263305221524</c:v>
                </c:pt>
                <c:pt idx="146">
                  <c:v>0.14372859365372226</c:v>
                </c:pt>
                <c:pt idx="147">
                  <c:v>0.13994540974274106</c:v>
                </c:pt>
                <c:pt idx="148">
                  <c:v>0.13627255362461288</c:v>
                </c:pt>
                <c:pt idx="149">
                  <c:v>0.1327060128479588</c:v>
                </c:pt>
                <c:pt idx="150">
                  <c:v>0.12924197396365522</c:v>
                </c:pt>
                <c:pt idx="151">
                  <c:v>0.12587680981371224</c:v>
                </c:pt>
                <c:pt idx="152">
                  <c:v>0.12260706774358787</c:v>
                </c:pt>
                <c:pt idx="153">
                  <c:v>0.11942945866754921</c:v>
                </c:pt>
                <c:pt idx="154">
                  <c:v>0.11634084692186272</c:v>
                </c:pt>
                <c:pt idx="155">
                  <c:v>0.11333824084607888</c:v>
                </c:pt>
                <c:pt idx="156">
                  <c:v>0.11041878403688543</c:v>
                </c:pt>
                <c:pt idx="157">
                  <c:v>0.10757974722362296</c:v>
                </c:pt>
                <c:pt idx="158">
                  <c:v>0.10481852071835622</c:v>
                </c:pt>
                <c:pt idx="159">
                  <c:v>0.10213260739700679</c:v>
                </c:pt>
                <c:pt idx="160">
                  <c:v>9.9519616171563893E-2</c:v>
                </c:pt>
                <c:pt idx="161">
                  <c:v>9.6977255916310651E-2</c:v>
                </c:pt>
                <c:pt idx="162">
                  <c:v>9.4503329814063106E-2</c:v>
                </c:pt>
                <c:pt idx="163">
                  <c:v>9.2095730090758762E-2</c:v>
                </c:pt>
                <c:pt idx="164">
                  <c:v>8.9752433109557161E-2</c:v>
                </c:pt>
                <c:pt idx="165">
                  <c:v>8.7471494797466354E-2</c:v>
                </c:pt>
                <c:pt idx="166">
                  <c:v>8.5251046379809237E-2</c:v>
                </c:pt>
                <c:pt idx="167">
                  <c:v>8.3089290399716298E-2</c:v>
                </c:pt>
                <c:pt idx="168">
                  <c:v>8.0984497001535968E-2</c:v>
                </c:pt>
                <c:pt idx="169">
                  <c:v>7.8935000458620869E-2</c:v>
                </c:pt>
                <c:pt idx="170">
                  <c:v>7.6939195927683113E-2</c:v>
                </c:pt>
                <c:pt idx="171">
                  <c:v>7.499553641292156E-2</c:v>
                </c:pt>
                <c:pt idx="172">
                  <c:v>7.3102529924765985E-2</c:v>
                </c:pt>
                <c:pt idx="173">
                  <c:v>7.1258736819017926E-2</c:v>
                </c:pt>
                <c:pt idx="174">
                  <c:v>6.9462767303247075E-2</c:v>
                </c:pt>
                <c:pt idx="175">
                  <c:v>6.7713279098530185E-2</c:v>
                </c:pt>
                <c:pt idx="176">
                  <c:v>6.600897524520942E-2</c:v>
                </c:pt>
                <c:pt idx="177">
                  <c:v>6.4348602042434574E-2</c:v>
                </c:pt>
                <c:pt idx="178">
                  <c:v>6.2730947112046631E-2</c:v>
                </c:pt>
                <c:pt idx="179">
                  <c:v>6.1154837577783845E-2</c:v>
                </c:pt>
                <c:pt idx="180">
                  <c:v>5.9619138351953857E-2</c:v>
                </c:pt>
                <c:pt idx="181">
                  <c:v>5.8122750521763321E-2</c:v>
                </c:pt>
                <c:pt idx="182">
                  <c:v>5.6664609828606854E-2</c:v>
                </c:pt>
                <c:pt idx="183">
                  <c:v>5.5243685233646658E-2</c:v>
                </c:pt>
                <c:pt idx="184">
                  <c:v>5.3858977563967396E-2</c:v>
                </c:pt>
                <c:pt idx="185">
                  <c:v>5.2509518233564138E-2</c:v>
                </c:pt>
                <c:pt idx="186">
                  <c:v>5.1194368034303675E-2</c:v>
                </c:pt>
                <c:pt idx="187">
                  <c:v>4.9912615991927048E-2</c:v>
                </c:pt>
                <c:pt idx="188">
                  <c:v>4.8663378282895568E-2</c:v>
                </c:pt>
                <c:pt idx="189">
                  <c:v>4.7445797207954096E-2</c:v>
                </c:pt>
                <c:pt idx="190">
                  <c:v>4.6259040218686306E-2</c:v>
                </c:pt>
                <c:pt idx="191">
                  <c:v>4.5102298993594511E-2</c:v>
                </c:pt>
                <c:pt idx="192">
                  <c:v>4.3974788560517467E-2</c:v>
                </c:pt>
                <c:pt idx="193">
                  <c:v>4.2875746462368414E-2</c:v>
                </c:pt>
                <c:pt idx="194">
                  <c:v>4.180443196345051E-2</c:v>
                </c:pt>
                <c:pt idx="195">
                  <c:v>4.0760125293795711E-2</c:v>
                </c:pt>
                <c:pt idx="196">
                  <c:v>3.9742126929132822E-2</c:v>
                </c:pt>
                <c:pt idx="197">
                  <c:v>3.8749756904316125E-2</c:v>
                </c:pt>
                <c:pt idx="198">
                  <c:v>3.7782354158124518E-2</c:v>
                </c:pt>
                <c:pt idx="199">
                  <c:v>3.6839275907546168E-2</c:v>
                </c:pt>
                <c:pt idx="200">
                  <c:v>3.5919897049817108E-2</c:v>
                </c:pt>
                <c:pt idx="201">
                  <c:v>3.5023609590494192E-2</c:v>
                </c:pt>
                <c:pt idx="202">
                  <c:v>3.4149822096143818E-2</c:v>
                </c:pt>
                <c:pt idx="203">
                  <c:v>3.3297959170109706E-2</c:v>
                </c:pt>
                <c:pt idx="204">
                  <c:v>3.246746095015416E-2</c:v>
                </c:pt>
                <c:pt idx="205">
                  <c:v>3.1657782626653815E-2</c:v>
                </c:pt>
                <c:pt idx="206">
                  <c:v>3.0868393980231123E-2</c:v>
                </c:pt>
                <c:pt idx="207">
                  <c:v>3.0098778937802533E-2</c:v>
                </c:pt>
                <c:pt idx="208">
                  <c:v>2.9348435145944381E-2</c:v>
                </c:pt>
                <c:pt idx="209">
                  <c:v>2.8616873560800119E-2</c:v>
                </c:pt>
                <c:pt idx="210">
                  <c:v>2.7903618053467829E-2</c:v>
                </c:pt>
                <c:pt idx="211">
                  <c:v>2.7208205030260016E-2</c:v>
                </c:pt>
                <c:pt idx="212">
                  <c:v>2.6530183066946079E-2</c:v>
                </c:pt>
                <c:pt idx="213">
                  <c:v>2.586911255627344E-2</c:v>
                </c:pt>
                <c:pt idx="214">
                  <c:v>2.5224565368212389E-2</c:v>
                </c:pt>
                <c:pt idx="215">
                  <c:v>2.4596124522197903E-2</c:v>
                </c:pt>
                <c:pt idx="216">
                  <c:v>2.3983383870818636E-2</c:v>
                </c:pt>
                <c:pt idx="217">
                  <c:v>2.33859477944541E-2</c:v>
                </c:pt>
                <c:pt idx="218">
                  <c:v>2.2803430906275738E-2</c:v>
                </c:pt>
                <c:pt idx="219">
                  <c:v>2.2235457767192181E-2</c:v>
                </c:pt>
                <c:pt idx="220">
                  <c:v>2.1681662610261873E-2</c:v>
                </c:pt>
                <c:pt idx="221">
                  <c:v>2.1141689074179713E-2</c:v>
                </c:pt>
                <c:pt idx="222">
                  <c:v>2.0615189945388732E-2</c:v>
                </c:pt>
                <c:pt idx="223">
                  <c:v>2.0101826908496424E-2</c:v>
                </c:pt>
                <c:pt idx="224">
                  <c:v>1.9601270304607937E-2</c:v>
                </c:pt>
                <c:pt idx="225">
                  <c:v>1.9113198897276751E-2</c:v>
                </c:pt>
                <c:pt idx="226">
                  <c:v>1.8637299645702331E-2</c:v>
                </c:pt>
                <c:pt idx="227">
                  <c:v>1.8173267484966636E-2</c:v>
                </c:pt>
                <c:pt idx="228">
                  <c:v>1.7720805112951057E-2</c:v>
                </c:pt>
                <c:pt idx="229">
                  <c:v>1.7279622783685361E-2</c:v>
                </c:pt>
                <c:pt idx="230">
                  <c:v>1.6849438106937936E-2</c:v>
                </c:pt>
                <c:pt idx="231">
                  <c:v>1.6429975853734704E-2</c:v>
                </c:pt>
                <c:pt idx="232">
                  <c:v>1.6020967767604526E-2</c:v>
                </c:pt>
                <c:pt idx="233">
                  <c:v>1.5622152381361009E-2</c:v>
                </c:pt>
                <c:pt idx="234">
                  <c:v>1.5233274839223437E-2</c:v>
                </c:pt>
                <c:pt idx="235">
                  <c:v>1.4854086724037751E-2</c:v>
                </c:pt>
                <c:pt idx="236">
                  <c:v>1.4484345889436454E-2</c:v>
                </c:pt>
                <c:pt idx="237">
                  <c:v>1.4123816296809137E-2</c:v>
                </c:pt>
                <c:pt idx="238">
                  <c:v>1.3772267856840405E-2</c:v>
                </c:pt>
                <c:pt idx="239">
                  <c:v>1.3429476275524651E-2</c:v>
                </c:pt>
                <c:pt idx="240">
                  <c:v>1.3095222904452608E-2</c:v>
                </c:pt>
                <c:pt idx="241">
                  <c:v>1.276929459529649E-2</c:v>
                </c:pt>
                <c:pt idx="242">
                  <c:v>1.2451483558249366E-2</c:v>
                </c:pt>
                <c:pt idx="243">
                  <c:v>1.2141587224428452E-2</c:v>
                </c:pt>
                <c:pt idx="244">
                  <c:v>1.1839408111949138E-2</c:v>
                </c:pt>
                <c:pt idx="245">
                  <c:v>1.1544753695746675E-2</c:v>
                </c:pt>
                <c:pt idx="246">
                  <c:v>1.1257436280814955E-2</c:v>
                </c:pt>
                <c:pt idx="247">
                  <c:v>1.0977272878968972E-2</c:v>
                </c:pt>
                <c:pt idx="248">
                  <c:v>1.0704085088808326E-2</c:v>
                </c:pt>
                <c:pt idx="249">
                  <c:v>1.0437698979003145E-2</c:v>
                </c:pt>
                <c:pt idx="250">
                  <c:v>1.0177944974605595E-2</c:v>
                </c:pt>
                <c:pt idx="251">
                  <c:v>9.9246577464174712E-3</c:v>
                </c:pt>
                <c:pt idx="252">
                  <c:v>9.6776761032663448E-3</c:v>
                </c:pt>
                <c:pt idx="253">
                  <c:v>9.4368428871681384E-3</c:v>
                </c:pt>
                <c:pt idx="254">
                  <c:v>9.202004871176327E-3</c:v>
                </c:pt>
                <c:pt idx="255">
                  <c:v>8.9730126599918639E-3</c:v>
                </c:pt>
                <c:pt idx="256">
                  <c:v>8.7497205931051023E-3</c:v>
                </c:pt>
                <c:pt idx="257">
                  <c:v>8.5319866504960148E-3</c:v>
                </c:pt>
                <c:pt idx="258">
                  <c:v>8.31967236078659E-3</c:v>
                </c:pt>
                <c:pt idx="259">
                  <c:v>8.1126427117879096E-3</c:v>
                </c:pt>
                <c:pt idx="260">
                  <c:v>7.9107660633126915E-3</c:v>
                </c:pt>
                <c:pt idx="261">
                  <c:v>7.7139140623229433E-3</c:v>
                </c:pt>
                <c:pt idx="262">
                  <c:v>7.5219615602144024E-3</c:v>
                </c:pt>
                <c:pt idx="263">
                  <c:v>7.3347865322163945E-3</c:v>
                </c:pt>
                <c:pt idx="264">
                  <c:v>7.1522699989041974E-3</c:v>
                </c:pt>
                <c:pt idx="265">
                  <c:v>6.9742959497268633E-3</c:v>
                </c:pt>
                <c:pt idx="266">
                  <c:v>6.8007512684309631E-3</c:v>
                </c:pt>
                <c:pt idx="267">
                  <c:v>6.6315256604901184E-3</c:v>
                </c:pt>
                <c:pt idx="268">
                  <c:v>6.4665115822819296E-3</c:v>
                </c:pt>
                <c:pt idx="269">
                  <c:v>6.3056041721664628E-3</c:v>
                </c:pt>
                <c:pt idx="270">
                  <c:v>6.1487011832396009E-3</c:v>
                </c:pt>
                <c:pt idx="271">
                  <c:v>5.9957029178610687E-3</c:v>
                </c:pt>
                <c:pt idx="272">
                  <c:v>5.8465121638026345E-3</c:v>
                </c:pt>
                <c:pt idx="273">
                  <c:v>5.7010341320532908E-3</c:v>
                </c:pt>
                <c:pt idx="274">
                  <c:v>5.5591763961672759E-3</c:v>
                </c:pt>
                <c:pt idx="275">
                  <c:v>5.4208488331488934E-3</c:v>
                </c:pt>
                <c:pt idx="276">
                  <c:v>5.2859635658666715E-3</c:v>
                </c:pt>
                <c:pt idx="277">
                  <c:v>5.1544349068857499E-3</c:v>
                </c:pt>
                <c:pt idx="278">
                  <c:v>5.0261793037673442E-3</c:v>
                </c:pt>
                <c:pt idx="279">
                  <c:v>4.9011152856765538E-3</c:v>
                </c:pt>
                <c:pt idx="280">
                  <c:v>4.7791634114074423E-3</c:v>
                </c:pt>
                <c:pt idx="281">
                  <c:v>4.6602462186751351E-3</c:v>
                </c:pt>
                <c:pt idx="282">
                  <c:v>4.5442881746989147E-3</c:v>
                </c:pt>
                <c:pt idx="283">
                  <c:v>4.4312156280163972E-3</c:v>
                </c:pt>
                <c:pt idx="284">
                  <c:v>4.3209567615556397E-3</c:v>
                </c:pt>
                <c:pt idx="285">
                  <c:v>4.2134415467997852E-3</c:v>
                </c:pt>
                <c:pt idx="286">
                  <c:v>4.108601699206983E-3</c:v>
                </c:pt>
                <c:pt idx="287">
                  <c:v>4.0063706346519842E-3</c:v>
                </c:pt>
                <c:pt idx="288">
                  <c:v>3.9066834270550009E-3</c:v>
                </c:pt>
                <c:pt idx="289">
                  <c:v>3.809476766979646E-3</c:v>
                </c:pt>
                <c:pt idx="290">
                  <c:v>3.7146889213522383E-3</c:v>
                </c:pt>
                <c:pt idx="291">
                  <c:v>3.6222596941083676E-3</c:v>
                </c:pt>
                <c:pt idx="292">
                  <c:v>3.5321303879303173E-3</c:v>
                </c:pt>
                <c:pt idx="293">
                  <c:v>3.44424376682662E-3</c:v>
                </c:pt>
                <c:pt idx="294">
                  <c:v>3.358544019726576E-3</c:v>
                </c:pt>
                <c:pt idx="295">
                  <c:v>3.2749767249728298E-3</c:v>
                </c:pt>
                <c:pt idx="296">
                  <c:v>3.1934888156939403E-3</c:v>
                </c:pt>
                <c:pt idx="297">
                  <c:v>3.114028546007501E-3</c:v>
                </c:pt>
                <c:pt idx="298">
                  <c:v>3.0365454581515869E-3</c:v>
                </c:pt>
                <c:pt idx="299">
                  <c:v>2.9609903503438405E-3</c:v>
                </c:pt>
                <c:pt idx="300">
                  <c:v>2.8873152455359866E-3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61-4F5B-BF24-3020D2088364}"/>
            </c:ext>
          </c:extLst>
        </c:ser>
        <c:ser>
          <c:idx val="0"/>
          <c:order val="1"/>
          <c:tx>
            <c:v>Set Point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Sheet1!$U$6:$U$306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Sheet1!$AA$6:$AA$306</c:f>
              <c:numCache>
                <c:formatCode>General</c:formatCode>
                <c:ptCount val="301"/>
                <c:pt idx="0">
                  <c:v>120</c:v>
                </c:pt>
                <c:pt idx="1">
                  <c:v>120</c:v>
                </c:pt>
                <c:pt idx="2">
                  <c:v>119.76202107636391</c:v>
                </c:pt>
                <c:pt idx="3">
                  <c:v>119.29136302816204</c:v>
                </c:pt>
                <c:pt idx="4">
                  <c:v>118.59320762775143</c:v>
                </c:pt>
                <c:pt idx="5">
                  <c:v>117.67262124923491</c:v>
                </c:pt>
                <c:pt idx="6">
                  <c:v>116.53455743838438</c:v>
                </c:pt>
                <c:pt idx="7">
                  <c:v>115.18385942533166</c:v>
                </c:pt>
                <c:pt idx="8">
                  <c:v>113.62526258130174</c:v>
                </c:pt>
                <c:pt idx="9">
                  <c:v>111.86339682063456</c:v>
                </c:pt>
                <c:pt idx="10">
                  <c:v>109.90278894931339</c:v>
                </c:pt>
                <c:pt idx="11">
                  <c:v>107.74786496119171</c:v>
                </c:pt>
                <c:pt idx="12">
                  <c:v>105.40295228308295</c:v>
                </c:pt>
                <c:pt idx="13">
                  <c:v>102.87228196985185</c:v>
                </c:pt>
                <c:pt idx="14">
                  <c:v>100.15999085062128</c:v>
                </c:pt>
                <c:pt idx="15">
                  <c:v>97.270123627182812</c:v>
                </c:pt>
                <c:pt idx="16">
                  <c:v>94.206634925675601</c:v>
                </c:pt>
                <c:pt idx="17">
                  <c:v>90.973391302574498</c:v>
                </c:pt>
                <c:pt idx="18">
                  <c:v>87.574173206004474</c:v>
                </c:pt>
                <c:pt idx="19">
                  <c:v>84.01267689337665</c:v>
                </c:pt>
                <c:pt idx="20">
                  <c:v>80.292516306318532</c:v>
                </c:pt>
                <c:pt idx="21">
                  <c:v>76.417224903849402</c:v>
                </c:pt>
                <c:pt idx="22">
                  <c:v>72.390257454730815</c:v>
                </c:pt>
                <c:pt idx="23">
                  <c:v>68.317942844901751</c:v>
                </c:pt>
                <c:pt idx="24">
                  <c:v>64.285408743856095</c:v>
                </c:pt>
                <c:pt idx="25">
                  <c:v>60.350483400705471</c:v>
                </c:pt>
                <c:pt idx="26">
                  <c:v>56.553193361158037</c:v>
                </c:pt>
                <c:pt idx="27">
                  <c:v>52.919508554360647</c:v>
                </c:pt>
                <c:pt idx="28">
                  <c:v>49.465092245240449</c:v>
                </c:pt>
                <c:pt idx="29">
                  <c:v>46.197946823500757</c:v>
                </c:pt>
                <c:pt idx="30">
                  <c:v>43.12048618003756</c:v>
                </c:pt>
                <c:pt idx="31">
                  <c:v>40.231097956183731</c:v>
                </c:pt>
                <c:pt idx="32">
                  <c:v>37.525330940839126</c:v>
                </c:pt>
                <c:pt idx="33">
                  <c:v>34.996790354534156</c:v>
                </c:pt>
                <c:pt idx="34">
                  <c:v>32.63781019748572</c:v>
                </c:pt>
                <c:pt idx="35">
                  <c:v>30.439954626442038</c:v>
                </c:pt>
                <c:pt idx="36">
                  <c:v>28.394388722720048</c:v>
                </c:pt>
                <c:pt idx="37">
                  <c:v>26.492149639072032</c:v>
                </c:pt>
                <c:pt idx="38">
                  <c:v>24.724341984271216</c:v>
                </c:pt>
                <c:pt idx="39">
                  <c:v>23.082275778724387</c:v>
                </c:pt>
                <c:pt idx="40">
                  <c:v>21.557561059527806</c:v>
                </c:pt>
                <c:pt idx="41">
                  <c:v>20.142169931394541</c:v>
                </c:pt>
                <c:pt idx="42">
                  <c:v>18.82847433102247</c:v>
                </c:pt>
                <c:pt idx="43">
                  <c:v>17.609265824443014</c:v>
                </c:pt>
                <c:pt idx="44">
                  <c:v>16.477762257257361</c:v>
                </c:pt>
                <c:pt idx="45">
                  <c:v>15.427604923995119</c:v>
                </c:pt>
                <c:pt idx="46">
                  <c:v>14.452849036056044</c:v>
                </c:pt>
                <c:pt idx="47">
                  <c:v>13.547949586758818</c:v>
                </c:pt>
                <c:pt idx="48">
                  <c:v>12.707744189779177</c:v>
                </c:pt>
                <c:pt idx="49">
                  <c:v>11.927434067319886</c:v>
                </c:pt>
                <c:pt idx="50">
                  <c:v>11.202564058622386</c:v>
                </c:pt>
                <c:pt idx="51">
                  <c:v>10.529002286224419</c:v>
                </c:pt>
                <c:pt idx="52">
                  <c:v>9.9029199399586787</c:v>
                </c:pt>
                <c:pt idx="53">
                  <c:v>9.3207715041675669</c:v>
                </c:pt>
                <c:pt idx="54">
                  <c:v>8.7792756520257882</c:v>
                </c:pt>
                <c:pt idx="55">
                  <c:v>8.2753969545401489</c:v>
                </c:pt>
                <c:pt idx="56">
                  <c:v>7.8063284948200291</c:v>
                </c:pt>
                <c:pt idx="57">
                  <c:v>7.3694754360281678</c:v>
                </c:pt>
                <c:pt idx="58">
                  <c:v>6.9624395605195275</c:v>
                </c:pt>
                <c:pt idx="59">
                  <c:v>6.5830047753599459</c:v>
                </c:pt>
                <c:pt idx="60">
                  <c:v>6.2291235636100879</c:v>
                </c:pt>
                <c:pt idx="61">
                  <c:v>5.8989043498715148</c:v>
                </c:pt>
                <c:pt idx="62">
                  <c:v>5.5905997413980586</c:v>
                </c:pt>
                <c:pt idx="63">
                  <c:v>5.3025956016423947</c:v>
                </c:pt>
                <c:pt idx="64">
                  <c:v>5.0334009107172548</c:v>
                </c:pt>
                <c:pt idx="65">
                  <c:v>4.7816383663591893</c:v>
                </c:pt>
                <c:pt idx="66">
                  <c:v>4.5460356791735279</c:v>
                </c:pt>
                <c:pt idx="67">
                  <c:v>4.3254175168972466</c:v>
                </c:pt>
                <c:pt idx="68">
                  <c:v>4.118698053904474</c:v>
                </c:pt>
                <c:pt idx="69">
                  <c:v>3.9248740840177945</c:v>
                </c:pt>
                <c:pt idx="70">
                  <c:v>3.7430186567435015</c:v>
                </c:pt>
                <c:pt idx="71">
                  <c:v>3.5722751992224886</c:v>
                </c:pt>
                <c:pt idx="72">
                  <c:v>3.4118520884068317</c:v>
                </c:pt>
                <c:pt idx="73">
                  <c:v>3.2610176401833613</c:v>
                </c:pt>
                <c:pt idx="74">
                  <c:v>3.1190954843323624</c:v>
                </c:pt>
                <c:pt idx="75">
                  <c:v>2.9854602963058525</c:v>
                </c:pt>
                <c:pt idx="76">
                  <c:v>2.859533858819411</c:v>
                </c:pt>
                <c:pt idx="77">
                  <c:v>2.7407814281623288</c:v>
                </c:pt>
                <c:pt idx="78">
                  <c:v>2.6287083819387007</c:v>
                </c:pt>
                <c:pt idx="79">
                  <c:v>2.5228571266532498</c:v>
                </c:pt>
                <c:pt idx="80">
                  <c:v>2.4228042451513474</c:v>
                </c:pt>
                <c:pt idx="81">
                  <c:v>2.328157865414596</c:v>
                </c:pt>
                <c:pt idx="82">
                  <c:v>2.2385552336048704</c:v>
                </c:pt>
                <c:pt idx="83">
                  <c:v>2.1536604755447826</c:v>
                </c:pt>
                <c:pt idx="84">
                  <c:v>2.0731625320262239</c:v>
                </c:pt>
                <c:pt idx="85">
                  <c:v>1.9967732544554835</c:v>
                </c:pt>
                <c:pt idx="86">
                  <c:v>1.9242256483790925</c:v>
                </c:pt>
                <c:pt idx="87">
                  <c:v>1.8552722533929042</c:v>
                </c:pt>
                <c:pt idx="88">
                  <c:v>1.7896836488247843</c:v>
                </c:pt>
                <c:pt idx="89">
                  <c:v>1.7272470754014932</c:v>
                </c:pt>
                <c:pt idx="90">
                  <c:v>1.6677651638687792</c:v>
                </c:pt>
                <c:pt idx="91">
                  <c:v>1.6110547622347866</c:v>
                </c:pt>
                <c:pt idx="92">
                  <c:v>1.5569458539534367</c:v>
                </c:pt>
                <c:pt idx="93">
                  <c:v>1.5052805599624151</c:v>
                </c:pt>
                <c:pt idx="94">
                  <c:v>1.4559122180414974</c:v>
                </c:pt>
                <c:pt idx="95">
                  <c:v>1.4087045334660573</c:v>
                </c:pt>
                <c:pt idx="96">
                  <c:v>1.3635307953999671</c:v>
                </c:pt>
                <c:pt idx="97">
                  <c:v>1.3202731539053119</c:v>
                </c:pt>
                <c:pt idx="98">
                  <c:v>1.2788219528458242</c:v>
                </c:pt>
                <c:pt idx="99">
                  <c:v>1.2390751143294665</c:v>
                </c:pt>
                <c:pt idx="100">
                  <c:v>1.2009375706751513</c:v>
                </c:pt>
                <c:pt idx="101">
                  <c:v>1.1643207402023492</c:v>
                </c:pt>
                <c:pt idx="102">
                  <c:v>1.129142043430825</c:v>
                </c:pt>
                <c:pt idx="103">
                  <c:v>1.0953244565444535</c:v>
                </c:pt>
                <c:pt idx="104">
                  <c:v>1.062796099218545</c:v>
                </c:pt>
                <c:pt idx="105">
                  <c:v>1.0314898541365309</c:v>
                </c:pt>
                <c:pt idx="106">
                  <c:v>1.0013430157307397</c:v>
                </c:pt>
                <c:pt idx="107">
                  <c:v>0.97229696587447734</c:v>
                </c:pt>
                <c:pt idx="108">
                  <c:v>0.94429687442987387</c:v>
                </c:pt>
                <c:pt idx="109">
                  <c:v>0.91729142271979214</c:v>
                </c:pt>
                <c:pt idx="110">
                  <c:v>0.89123254814271746</c:v>
                </c:pt>
                <c:pt idx="111">
                  <c:v>0.86607520828859208</c:v>
                </c:pt>
                <c:pt idx="112">
                  <c:v>0.84177716304194661</c:v>
                </c:pt>
                <c:pt idx="113">
                  <c:v>0.81829877327626122</c:v>
                </c:pt>
                <c:pt idx="114">
                  <c:v>0.7956028148531189</c:v>
                </c:pt>
                <c:pt idx="115">
                  <c:v>0.77365430673951607</c:v>
                </c:pt>
                <c:pt idx="116">
                  <c:v>0.75242035214952807</c:v>
                </c:pt>
                <c:pt idx="117">
                  <c:v>0.73186999170183498</c:v>
                </c:pt>
                <c:pt idx="118">
                  <c:v>0.71197406766316362</c:v>
                </c:pt>
                <c:pt idx="119">
                  <c:v>0.69270509842034755</c:v>
                </c:pt>
                <c:pt idx="120">
                  <c:v>0.67403716239023481</c:v>
                </c:pt>
                <c:pt idx="121">
                  <c:v>0.65594579063876779</c:v>
                </c:pt>
                <c:pt idx="122">
                  <c:v>0.63840786753696221</c:v>
                </c:pt>
                <c:pt idx="123">
                  <c:v>0.62140153883399307</c:v>
                </c:pt>
                <c:pt idx="124">
                  <c:v>0.60490612657587661</c:v>
                </c:pt>
                <c:pt idx="125">
                  <c:v>0.58890205034283127</c:v>
                </c:pt>
                <c:pt idx="126">
                  <c:v>0.57337075431924234</c:v>
                </c:pt>
                <c:pt idx="127">
                  <c:v>0.55829463974803417</c:v>
                </c:pt>
                <c:pt idx="128">
                  <c:v>0.5436570023561913</c:v>
                </c:pt>
                <c:pt idx="129">
                  <c:v>0.5294419743703358</c:v>
                </c:pt>
                <c:pt idx="130">
                  <c:v>0.51563447077064239</c:v>
                </c:pt>
                <c:pt idx="131">
                  <c:v>0.50222013945901978</c:v>
                </c:pt>
                <c:pt idx="132">
                  <c:v>0.48918531504249074</c:v>
                </c:pt>
                <c:pt idx="133">
                  <c:v>0.47651697595591713</c:v>
                </c:pt>
                <c:pt idx="134">
                  <c:v>0.464202704669745</c:v>
                </c:pt>
                <c:pt idx="135">
                  <c:v>0.45223065074792856</c:v>
                </c:pt>
                <c:pt idx="136">
                  <c:v>0.44058949653980051</c:v>
                </c:pt>
                <c:pt idx="137">
                  <c:v>0.42926842530596332</c:v>
                </c:pt>
                <c:pt idx="138">
                  <c:v>0.41825709159407154</c:v>
                </c:pt>
                <c:pt idx="139">
                  <c:v>0.40754559369457155</c:v>
                </c:pt>
                <c:pt idx="140">
                  <c:v>0.39712444801942581</c:v>
                </c:pt>
                <c:pt idx="141">
                  <c:v>0.38698456525933977</c:v>
                </c:pt>
                <c:pt idx="142">
                  <c:v>0.37711722818568916</c:v>
                </c:pt>
                <c:pt idx="143">
                  <c:v>0.36751407097425925</c:v>
                </c:pt>
                <c:pt idx="144">
                  <c:v>0.35816705993679676</c:v>
                </c:pt>
                <c:pt idx="145">
                  <c:v>0.34906847555562592</c:v>
                </c:pt>
                <c:pt idx="146">
                  <c:v>0.3402108957242973</c:v>
                </c:pt>
                <c:pt idx="147">
                  <c:v>0.33158718010508181</c:v>
                </c:pt>
                <c:pt idx="148">
                  <c:v>0.32319045552051762</c:v>
                </c:pt>
                <c:pt idx="149">
                  <c:v>0.31501410230303861</c:v>
                </c:pt>
                <c:pt idx="150">
                  <c:v>0.3070517415321703</c:v>
                </c:pt>
                <c:pt idx="151">
                  <c:v>0.29929722309434226</c:v>
                </c:pt>
                <c:pt idx="152">
                  <c:v>0.29174461450552513</c:v>
                </c:pt>
                <c:pt idx="153">
                  <c:v>0.28438819044090735</c:v>
                </c:pt>
                <c:pt idx="154">
                  <c:v>0.27722242292085753</c:v>
                </c:pt>
                <c:pt idx="155">
                  <c:v>0.27024197210555201</c:v>
                </c:pt>
                <c:pt idx="156">
                  <c:v>0.26344167765478232</c:v>
                </c:pt>
                <c:pt idx="157">
                  <c:v>0.25681655061256947</c:v>
                </c:pt>
                <c:pt idx="158">
                  <c:v>0.2503617657791537</c:v>
                </c:pt>
                <c:pt idx="159">
                  <c:v>0.24407265453606186</c:v>
                </c:pt>
                <c:pt idx="160">
                  <c:v>0.23794469809223529</c:v>
                </c:pt>
                <c:pt idx="161">
                  <c:v>0.23197352112195091</c:v>
                </c:pt>
                <c:pt idx="162">
                  <c:v>0.22615488576697373</c:v>
                </c:pt>
                <c:pt idx="163">
                  <c:v>0.22048468597812843</c:v>
                </c:pt>
                <c:pt idx="164">
                  <c:v>0.21495894217269296</c:v>
                </c:pt>
                <c:pt idx="165">
                  <c:v>0.20957379618612748</c:v>
                </c:pt>
                <c:pt idx="166">
                  <c:v>0.20432550649827164</c:v>
                </c:pt>
                <c:pt idx="167">
                  <c:v>0.19921044371548646</c:v>
                </c:pt>
                <c:pt idx="168">
                  <c:v>0.19422508629149604</c:v>
                </c:pt>
                <c:pt idx="169">
                  <c:v>0.1893660164714106</c:v>
                </c:pt>
                <c:pt idx="170">
                  <c:v>0.18462991644390314</c:v>
                </c:pt>
                <c:pt idx="171">
                  <c:v>0.18001356468823815</c:v>
                </c:pt>
                <c:pt idx="172">
                  <c:v>0.1755138325034693</c:v>
                </c:pt>
                <c:pt idx="173">
                  <c:v>0.17112768070797557</c:v>
                </c:pt>
                <c:pt idx="174">
                  <c:v>0.16685215649882679</c:v>
                </c:pt>
                <c:pt idx="175">
                  <c:v>0.16268439046064032</c:v>
                </c:pt>
                <c:pt idx="176">
                  <c:v>0.15862159371472018</c:v>
                </c:pt>
                <c:pt idx="177">
                  <c:v>0.15466105520001605</c:v>
                </c:pt>
                <c:pt idx="178">
                  <c:v>0.15080013907746093</c:v>
                </c:pt>
                <c:pt idx="179">
                  <c:v>0.14703628225073828</c:v>
                </c:pt>
                <c:pt idx="180">
                  <c:v>0.14336699199606073</c:v>
                </c:pt>
                <c:pt idx="181">
                  <c:v>0.13978984369494896</c:v>
                </c:pt>
                <c:pt idx="182">
                  <c:v>0.13630247866363732</c:v>
                </c:pt>
                <c:pt idx="183">
                  <c:v>0.13290260207392635</c:v>
                </c:pt>
                <c:pt idx="184">
                  <c:v>0.12958798095989721</c:v>
                </c:pt>
                <c:pt idx="185">
                  <c:v>0.12635644230605436</c:v>
                </c:pt>
                <c:pt idx="186">
                  <c:v>0.1232058712120363</c:v>
                </c:pt>
                <c:pt idx="187">
                  <c:v>0.12013420912997219</c:v>
                </c:pt>
                <c:pt idx="188">
                  <c:v>0.11713945217045563</c:v>
                </c:pt>
                <c:pt idx="189">
                  <c:v>0.11421964947349039</c:v>
                </c:pt>
                <c:pt idx="190">
                  <c:v>0.11137290164101898</c:v>
                </c:pt>
                <c:pt idx="191">
                  <c:v>0.10859735922790037</c:v>
                </c:pt>
                <c:pt idx="192">
                  <c:v>0.10589122128828876</c:v>
                </c:pt>
                <c:pt idx="193">
                  <c:v>0.10325273397466361</c:v>
                </c:pt>
                <c:pt idx="194">
                  <c:v>0.10068018918693156</c:v>
                </c:pt>
                <c:pt idx="195">
                  <c:v>9.8171923269127603E-2</c:v>
                </c:pt>
                <c:pt idx="196">
                  <c:v>9.5726315751498703E-2</c:v>
                </c:pt>
                <c:pt idx="197">
                  <c:v>9.3341788135752779E-2</c:v>
                </c:pt>
                <c:pt idx="198">
                  <c:v>9.1016802721490819E-2</c:v>
                </c:pt>
                <c:pt idx="199">
                  <c:v>8.8749861472010139E-2</c:v>
                </c:pt>
                <c:pt idx="200">
                  <c:v>8.653950491756035E-2</c:v>
                </c:pt>
                <c:pt idx="201">
                  <c:v>8.4384311094581221E-2</c:v>
                </c:pt>
                <c:pt idx="202">
                  <c:v>8.228289451915316E-2</c:v>
                </c:pt>
                <c:pt idx="203">
                  <c:v>8.0233905193381361E-2</c:v>
                </c:pt>
                <c:pt idx="204">
                  <c:v>7.8236027643178829E-2</c:v>
                </c:pt>
                <c:pt idx="205">
                  <c:v>7.6287979986169319E-2</c:v>
                </c:pt>
                <c:pt idx="206">
                  <c:v>7.4388513028580405E-2</c:v>
                </c:pt>
                <c:pt idx="207">
                  <c:v>7.2536409389762468E-2</c:v>
                </c:pt>
                <c:pt idx="208">
                  <c:v>7.0730482653502236E-2</c:v>
                </c:pt>
                <c:pt idx="209">
                  <c:v>6.8969576544745337E-2</c:v>
                </c:pt>
                <c:pt idx="210">
                  <c:v>6.7252564131088377E-2</c:v>
                </c:pt>
                <c:pt idx="211">
                  <c:v>6.5578347047889451E-2</c:v>
                </c:pt>
                <c:pt idx="212">
                  <c:v>6.3945854746080499E-2</c:v>
                </c:pt>
                <c:pt idx="213">
                  <c:v>6.2354043762063327E-2</c:v>
                </c:pt>
                <c:pt idx="214">
                  <c:v>6.0801897008687433E-2</c:v>
                </c:pt>
                <c:pt idx="215">
                  <c:v>5.9288423086584885E-2</c:v>
                </c:pt>
                <c:pt idx="216">
                  <c:v>5.7812655615244068E-2</c:v>
                </c:pt>
                <c:pt idx="217">
                  <c:v>5.6373652582990985E-2</c:v>
                </c:pt>
                <c:pt idx="218">
                  <c:v>5.4970495715323864E-2</c:v>
                </c:pt>
                <c:pt idx="219">
                  <c:v>5.3602289860940289E-2</c:v>
                </c:pt>
                <c:pt idx="220">
                  <c:v>5.2268162394902618E-2</c:v>
                </c:pt>
                <c:pt idx="221">
                  <c:v>5.0967262638280886E-2</c:v>
                </c:pt>
                <c:pt idx="222">
                  <c:v>4.9698761293825555E-2</c:v>
                </c:pt>
                <c:pt idx="223">
                  <c:v>4.8461849897094567E-2</c:v>
                </c:pt>
                <c:pt idx="224">
                  <c:v>4.7255740282587055E-2</c:v>
                </c:pt>
                <c:pt idx="225">
                  <c:v>4.607966406430819E-2</c:v>
                </c:pt>
                <c:pt idx="226">
                  <c:v>4.4932872130466706E-2</c:v>
                </c:pt>
                <c:pt idx="227">
                  <c:v>4.3814634151729592E-2</c:v>
                </c:pt>
                <c:pt idx="228">
                  <c:v>4.2724238102628931E-2</c:v>
                </c:pt>
                <c:pt idx="229">
                  <c:v>4.1660989795843761E-2</c:v>
                </c:pt>
                <c:pt idx="230">
                  <c:v>4.062421242882408E-2</c:v>
                </c:pt>
                <c:pt idx="231">
                  <c:v>3.9613246142415903E-2</c:v>
                </c:pt>
                <c:pt idx="232">
                  <c:v>3.8627447591188968E-2</c:v>
                </c:pt>
                <c:pt idx="233">
                  <c:v>3.7666189525126015E-2</c:v>
                </c:pt>
                <c:pt idx="234">
                  <c:v>3.6728860382247319E-2</c:v>
                </c:pt>
                <c:pt idx="235">
                  <c:v>3.5814863891893367E-2</c:v>
                </c:pt>
                <c:pt idx="236">
                  <c:v>3.4923618688452507E-2</c:v>
                </c:pt>
                <c:pt idx="237">
                  <c:v>3.4054557935085938E-2</c:v>
                </c:pt>
                <c:pt idx="238">
                  <c:v>3.3207128957279508E-2</c:v>
                </c:pt>
                <c:pt idx="239">
                  <c:v>3.2380792885859933E-2</c:v>
                </c:pt>
                <c:pt idx="240">
                  <c:v>3.1575024309326238E-2</c:v>
                </c:pt>
                <c:pt idx="241">
                  <c:v>3.0789310935048775E-2</c:v>
                </c:pt>
                <c:pt idx="242">
                  <c:v>3.00231532593358E-2</c:v>
                </c:pt>
                <c:pt idx="243">
                  <c:v>2.9276064245834732E-2</c:v>
                </c:pt>
                <c:pt idx="244">
                  <c:v>2.8547569012374652E-2</c:v>
                </c:pt>
                <c:pt idx="245">
                  <c:v>2.7837204525653192E-2</c:v>
                </c:pt>
                <c:pt idx="246">
                  <c:v>2.7144519303917036E-2</c:v>
                </c:pt>
                <c:pt idx="247">
                  <c:v>2.6469073127060483E-2</c:v>
                </c:pt>
                <c:pt idx="248">
                  <c:v>2.5810436754312605E-2</c:v>
                </c:pt>
                <c:pt idx="249">
                  <c:v>2.5168191648980098E-2</c:v>
                </c:pt>
                <c:pt idx="250">
                  <c:v>2.4541929710245824E-2</c:v>
                </c:pt>
                <c:pt idx="251">
                  <c:v>2.393125301176724E-2</c:v>
                </c:pt>
                <c:pt idx="252">
                  <c:v>2.3335773546989458E-2</c:v>
                </c:pt>
                <c:pt idx="253">
                  <c:v>2.2755112980789249E-2</c:v>
                </c:pt>
                <c:pt idx="254">
                  <c:v>2.2188902407556554E-2</c:v>
                </c:pt>
                <c:pt idx="255">
                  <c:v>2.163678211528719E-2</c:v>
                </c:pt>
                <c:pt idx="256">
                  <c:v>2.1098401355686747E-2</c:v>
                </c:pt>
                <c:pt idx="257">
                  <c:v>2.0573418120093834E-2</c:v>
                </c:pt>
                <c:pt idx="258">
                  <c:v>2.0061498921073451E-2</c:v>
                </c:pt>
                <c:pt idx="259">
                  <c:v>1.9562318579424698E-2</c:v>
                </c:pt>
                <c:pt idx="260">
                  <c:v>1.9075560016709403E-2</c:v>
                </c:pt>
                <c:pt idx="261">
                  <c:v>1.8600914052917972E-2</c:v>
                </c:pt>
                <c:pt idx="262">
                  <c:v>1.8138079209187197E-2</c:v>
                </c:pt>
                <c:pt idx="263">
                  <c:v>1.7686761515570026E-2</c:v>
                </c:pt>
                <c:pt idx="264">
                  <c:v>1.7246674323644129E-2</c:v>
                </c:pt>
                <c:pt idx="265">
                  <c:v>1.6817538123703457E-2</c:v>
                </c:pt>
                <c:pt idx="266">
                  <c:v>1.6399080366724661E-2</c:v>
                </c:pt>
                <c:pt idx="267">
                  <c:v>1.5991035290618072E-2</c:v>
                </c:pt>
                <c:pt idx="268">
                  <c:v>1.559314375099774E-2</c:v>
                </c:pt>
                <c:pt idx="269">
                  <c:v>1.5205153056065512E-2</c:v>
                </c:pt>
                <c:pt idx="270">
                  <c:v>1.4826816805737053E-2</c:v>
                </c:pt>
                <c:pt idx="271">
                  <c:v>1.445789473473269E-2</c:v>
                </c:pt>
                <c:pt idx="272">
                  <c:v>1.4098152559654409E-2</c:v>
                </c:pt>
                <c:pt idx="273">
                  <c:v>1.3747361829835825E-2</c:v>
                </c:pt>
                <c:pt idx="274">
                  <c:v>1.3405299781922508E-2</c:v>
                </c:pt>
                <c:pt idx="275">
                  <c:v>1.3071749198161342E-2</c:v>
                </c:pt>
                <c:pt idx="276">
                  <c:v>1.274649826816443E-2</c:v>
                </c:pt>
                <c:pt idx="277">
                  <c:v>1.2429340454211513E-2</c:v>
                </c:pt>
                <c:pt idx="278">
                  <c:v>1.2120074359792454E-2</c:v>
                </c:pt>
                <c:pt idx="279">
                  <c:v>1.1818503601560337E-2</c:v>
                </c:pt>
                <c:pt idx="280">
                  <c:v>1.1524436684418049E-2</c:v>
                </c:pt>
                <c:pt idx="281">
                  <c:v>1.1237686879738362E-2</c:v>
                </c:pt>
                <c:pt idx="282">
                  <c:v>1.0958072106610928E-2</c:v>
                </c:pt>
                <c:pt idx="283">
                  <c:v>1.0685414816137495E-2</c:v>
                </c:pt>
                <c:pt idx="284">
                  <c:v>1.0419541878455618E-2</c:v>
                </c:pt>
                <c:pt idx="285">
                  <c:v>1.0160284472767955E-2</c:v>
                </c:pt>
                <c:pt idx="286">
                  <c:v>9.9074779799508406E-3</c:v>
                </c:pt>
                <c:pt idx="287">
                  <c:v>9.6609618779979201E-3</c:v>
                </c:pt>
                <c:pt idx="288">
                  <c:v>9.4205796399151609E-3</c:v>
                </c:pt>
                <c:pt idx="289">
                  <c:v>9.1861786343017116E-3</c:v>
                </c:pt>
                <c:pt idx="290">
                  <c:v>8.9576100282755533E-3</c:v>
                </c:pt>
                <c:pt idx="291">
                  <c:v>8.7347286929997381E-3</c:v>
                </c:pt>
                <c:pt idx="292">
                  <c:v>8.5173931113615708E-3</c:v>
                </c:pt>
                <c:pt idx="293">
                  <c:v>8.305465288081848E-3</c:v>
                </c:pt>
                <c:pt idx="294">
                  <c:v>8.0988106620623057E-3</c:v>
                </c:pt>
                <c:pt idx="295">
                  <c:v>7.8972980208860122E-3</c:v>
                </c:pt>
                <c:pt idx="296">
                  <c:v>7.7007994173854399E-3</c:v>
                </c:pt>
                <c:pt idx="297">
                  <c:v>7.5091900884487472E-3</c:v>
                </c:pt>
                <c:pt idx="298">
                  <c:v>7.3223483756805763E-3</c:v>
                </c:pt>
                <c:pt idx="299">
                  <c:v>7.1401556481944795E-3</c:v>
                </c:pt>
                <c:pt idx="300">
                  <c:v>6.9624962271745972E-3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16-4AB3-B058-38540744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13743"/>
        <c:axId val="823990223"/>
      </c:scatterChart>
      <c:valAx>
        <c:axId val="82401374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[s]</a:t>
                </a:r>
                <a:endParaRPr 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3990223"/>
        <c:crosses val="autoZero"/>
        <c:crossBetween val="midCat"/>
      </c:valAx>
      <c:valAx>
        <c:axId val="8239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Rolling Rate, </a:t>
                </a:r>
                <a:r>
                  <a:rPr lang="en-US" sz="1600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[deg/s]</a:t>
                </a:r>
              </a:p>
            </c:rich>
          </c:tx>
          <c:layout>
            <c:manualLayout>
              <c:xMode val="edge"/>
              <c:yMode val="edge"/>
              <c:x val="2.4180634883555031E-2"/>
              <c:y val="0.234119632909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401374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2749024280705177"/>
          <c:y val="0.42168364668702124"/>
          <c:w val="0.1533012028000473"/>
          <c:h val="0.11620391570647566"/>
        </c:manualLayout>
      </c:layout>
      <c:overlay val="0"/>
      <c:spPr>
        <a:solidFill>
          <a:schemeClr val="bg1"/>
        </a:solidFill>
        <a:ln w="19050">
          <a:solidFill>
            <a:schemeClr val="dk1"/>
          </a:soli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8956118566963"/>
          <c:y val="3.1849676898883975E-2"/>
          <c:w val="0.83826328154029006"/>
          <c:h val="0.79459397771748719"/>
        </c:manualLayout>
      </c:layout>
      <c:scatterChart>
        <c:scatterStyle val="lineMarker"/>
        <c:varyColors val="0"/>
        <c:ser>
          <c:idx val="1"/>
          <c:order val="0"/>
          <c:tx>
            <c:v>PID</c:v>
          </c:tx>
          <c:spPr>
            <a:ln w="25400" cap="rnd">
              <a:solidFill>
                <a:schemeClr val="dk1"/>
              </a:solidFill>
              <a:round/>
            </a:ln>
            <a:effectLst/>
          </c:spPr>
          <c:marker>
            <c:symbol val="none"/>
          </c:marker>
          <c:xVal>
            <c:numRef>
              <c:f>Sheet1!$M$6:$M$306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Sheet1!$S$6:$S$306</c:f>
              <c:numCache>
                <c:formatCode>General</c:formatCode>
                <c:ptCount val="301"/>
                <c:pt idx="0">
                  <c:v>-21.5</c:v>
                </c:pt>
                <c:pt idx="1">
                  <c:v>-21.5</c:v>
                </c:pt>
                <c:pt idx="2">
                  <c:v>-21.5</c:v>
                </c:pt>
                <c:pt idx="3">
                  <c:v>-21.5</c:v>
                </c:pt>
                <c:pt idx="4">
                  <c:v>-21.5</c:v>
                </c:pt>
                <c:pt idx="5">
                  <c:v>-21.5</c:v>
                </c:pt>
                <c:pt idx="6">
                  <c:v>-21.5</c:v>
                </c:pt>
                <c:pt idx="7">
                  <c:v>-21.5</c:v>
                </c:pt>
                <c:pt idx="8">
                  <c:v>-21.5</c:v>
                </c:pt>
                <c:pt idx="9">
                  <c:v>-21.5</c:v>
                </c:pt>
                <c:pt idx="10">
                  <c:v>-21.5</c:v>
                </c:pt>
                <c:pt idx="11">
                  <c:v>-21.5</c:v>
                </c:pt>
                <c:pt idx="12">
                  <c:v>-21.5</c:v>
                </c:pt>
                <c:pt idx="13">
                  <c:v>-21.5</c:v>
                </c:pt>
                <c:pt idx="14">
                  <c:v>-21.5</c:v>
                </c:pt>
                <c:pt idx="15">
                  <c:v>-21.5</c:v>
                </c:pt>
                <c:pt idx="16">
                  <c:v>-21.5</c:v>
                </c:pt>
                <c:pt idx="17">
                  <c:v>-21.5</c:v>
                </c:pt>
                <c:pt idx="18">
                  <c:v>-21.5</c:v>
                </c:pt>
                <c:pt idx="19">
                  <c:v>-21.5</c:v>
                </c:pt>
                <c:pt idx="20">
                  <c:v>-21.5</c:v>
                </c:pt>
                <c:pt idx="21">
                  <c:v>-12.19897599045234</c:v>
                </c:pt>
                <c:pt idx="22">
                  <c:v>-4.5994273219357051</c:v>
                </c:pt>
                <c:pt idx="23">
                  <c:v>0.70505289612744715</c:v>
                </c:pt>
                <c:pt idx="24">
                  <c:v>4.5176021531041641</c:v>
                </c:pt>
                <c:pt idx="25">
                  <c:v>7.1407506387780666</c:v>
                </c:pt>
                <c:pt idx="26">
                  <c:v>8.8850031037509041</c:v>
                </c:pt>
                <c:pt idx="27">
                  <c:v>9.9686543969815524</c:v>
                </c:pt>
                <c:pt idx="28">
                  <c:v>10.563518144340723</c:v>
                </c:pt>
                <c:pt idx="29">
                  <c:v>10.7994905267392</c:v>
                </c:pt>
                <c:pt idx="30">
                  <c:v>10.77574522915555</c:v>
                </c:pt>
                <c:pt idx="31">
                  <c:v>10.567454238209557</c:v>
                </c:pt>
                <c:pt idx="32">
                  <c:v>10.231449861823318</c:v>
                </c:pt>
                <c:pt idx="33">
                  <c:v>9.8104709039069995</c:v>
                </c:pt>
                <c:pt idx="34">
                  <c:v>9.3364651823566991</c:v>
                </c:pt>
                <c:pt idx="35">
                  <c:v>8.8331262996546105</c:v>
                </c:pt>
                <c:pt idx="36">
                  <c:v>8.3178487191148704</c:v>
                </c:pt>
                <c:pt idx="37">
                  <c:v>7.8032316405185718</c:v>
                </c:pt>
                <c:pt idx="38">
                  <c:v>7.2982353572550327</c:v>
                </c:pt>
                <c:pt idx="39">
                  <c:v>6.8090694303835608</c:v>
                </c:pt>
                <c:pt idx="40">
                  <c:v>6.3398741171962119</c:v>
                </c:pt>
                <c:pt idx="41">
                  <c:v>5.8932424408322062</c:v>
                </c:pt>
                <c:pt idx="42">
                  <c:v>5.4706194915402104</c:v>
                </c:pt>
                <c:pt idx="43">
                  <c:v>5.0726071979422507</c:v>
                </c:pt>
                <c:pt idx="44">
                  <c:v>4.6991963597905384</c:v>
                </c:pt>
                <c:pt idx="45">
                  <c:v>4.3499427542586684</c:v>
                </c:pt>
                <c:pt idx="46">
                  <c:v>4.024100282955132</c:v>
                </c:pt>
                <c:pt idx="47">
                  <c:v>3.7207211581038973</c:v>
                </c:pt>
                <c:pt idx="48">
                  <c:v>3.4387308343739766</c:v>
                </c:pt>
                <c:pt idx="49">
                  <c:v>3.1769836235767612</c:v>
                </c:pt>
                <c:pt idx="50">
                  <c:v>2.9343035639033461</c:v>
                </c:pt>
                <c:pt idx="51">
                  <c:v>2.7095140616030378</c:v>
                </c:pt>
                <c:pt idx="52">
                  <c:v>2.5014590100110974</c:v>
                </c:pt>
                <c:pt idx="53">
                  <c:v>2.309017463763682</c:v>
                </c:pt>
                <c:pt idx="54">
                  <c:v>2.1311134625205623</c:v>
                </c:pt>
                <c:pt idx="55">
                  <c:v>1.9667222258330854</c:v>
                </c:pt>
                <c:pt idx="56">
                  <c:v>1.8148736536664041</c:v>
                </c:pt>
                <c:pt idx="57">
                  <c:v>1.6746538459862115</c:v>
                </c:pt>
                <c:pt idx="58">
                  <c:v>1.5452051846857464</c:v>
                </c:pt>
                <c:pt idx="59">
                  <c:v>1.4257253903016887</c:v>
                </c:pt>
                <c:pt idx="60">
                  <c:v>1.3154658654697275</c:v>
                </c:pt>
                <c:pt idx="61">
                  <c:v>1.2137295599521876</c:v>
                </c:pt>
                <c:pt idx="62">
                  <c:v>1.119868532976894</c:v>
                </c:pt>
                <c:pt idx="63">
                  <c:v>1.0332813434152492</c:v>
                </c:pt>
                <c:pt idx="64">
                  <c:v>0.95341036381480482</c:v>
                </c:pt>
                <c:pt idx="65">
                  <c:v>0.87973908801129186</c:v>
                </c:pt>
                <c:pt idx="66">
                  <c:v>0.81178948208614621</c:v>
                </c:pt>
                <c:pt idx="67">
                  <c:v>0.74911941333670606</c:v>
                </c:pt>
                <c:pt idx="68">
                  <c:v>0.69132018055586508</c:v>
                </c:pt>
                <c:pt idx="69">
                  <c:v>0.63801416040803893</c:v>
                </c:pt>
                <c:pt idx="70">
                  <c:v>0.58885257836573679</c:v>
                </c:pt>
                <c:pt idx="71">
                  <c:v>0.54351340801566916</c:v>
                </c:pt>
                <c:pt idx="72">
                  <c:v>0.50169939916317574</c:v>
                </c:pt>
                <c:pt idx="73">
                  <c:v>0.46313623274759896</c:v>
                </c:pt>
                <c:pt idx="74">
                  <c:v>0.42757079889626404</c:v>
                </c:pt>
                <c:pt idx="75">
                  <c:v>0.39476959331118122</c:v>
                </c:pt>
                <c:pt idx="76">
                  <c:v>0.36451722645868689</c:v>
                </c:pt>
                <c:pt idx="77">
                  <c:v>0.33661503961869754</c:v>
                </c:pt>
                <c:pt idx="78">
                  <c:v>0.31087982165737937</c:v>
                </c:pt>
                <c:pt idx="79">
                  <c:v>0.28714262036271587</c:v>
                </c:pt>
                <c:pt idx="80">
                  <c:v>0.26524764227224518</c:v>
                </c:pt>
                <c:pt idx="81">
                  <c:v>0.24505123509527849</c:v>
                </c:pt>
                <c:pt idx="82">
                  <c:v>0.22642094705970917</c:v>
                </c:pt>
                <c:pt idx="83">
                  <c:v>0.20923465777730343</c:v>
                </c:pt>
                <c:pt idx="84">
                  <c:v>0.19337977550444174</c:v>
                </c:pt>
                <c:pt idx="85">
                  <c:v>0.17875249596908316</c:v>
                </c:pt>
                <c:pt idx="86">
                  <c:v>0.16525711822827605</c:v>
                </c:pt>
                <c:pt idx="87">
                  <c:v>0.15280541331342978</c:v>
                </c:pt>
                <c:pt idx="88">
                  <c:v>0.14131604169988821</c:v>
                </c:pt>
                <c:pt idx="89">
                  <c:v>0.1307140159118434</c:v>
                </c:pt>
                <c:pt idx="90">
                  <c:v>0.12093020483145722</c:v>
                </c:pt>
                <c:pt idx="91">
                  <c:v>0.11190087652575054</c:v>
                </c:pt>
                <c:pt idx="92">
                  <c:v>0.10356727663907261</c:v>
                </c:pt>
                <c:pt idx="93">
                  <c:v>9.5875239613131713E-2</c:v>
                </c:pt>
                <c:pt idx="94">
                  <c:v>8.8774830202993038E-2</c:v>
                </c:pt>
                <c:pt idx="95">
                  <c:v>8.2220012945411591E-2</c:v>
                </c:pt>
                <c:pt idx="96">
                  <c:v>7.6168347414299342E-2</c:v>
                </c:pt>
                <c:pt idx="97">
                  <c:v>7.0580707261838294E-2</c:v>
                </c:pt>
                <c:pt idx="98">
                  <c:v>6.5421021197025864E-2</c:v>
                </c:pt>
                <c:pt idx="99">
                  <c:v>6.0656034194838226E-2</c:v>
                </c:pt>
                <c:pt idx="100">
                  <c:v>5.6255087361373191E-2</c:v>
                </c:pt>
                <c:pt idx="101">
                  <c:v>5.2189914999988707E-2</c:v>
                </c:pt>
                <c:pt idx="102">
                  <c:v>4.843445753835085E-2</c:v>
                </c:pt>
                <c:pt idx="103">
                  <c:v>4.4964689077945263E-2</c:v>
                </c:pt>
                <c:pt idx="104">
                  <c:v>4.1758458425150469E-2</c:v>
                </c:pt>
                <c:pt idx="105">
                  <c:v>3.8795342551153356E-2</c:v>
                </c:pt>
                <c:pt idx="106">
                  <c:v>3.6056511509629297E-2</c:v>
                </c:pt>
                <c:pt idx="107">
                  <c:v>3.3524603916915474E-2</c:v>
                </c:pt>
                <c:pt idx="108">
                  <c:v>3.1183612169734976E-2</c:v>
                </c:pt>
                <c:pt idx="109">
                  <c:v>2.9018776638653265E-2</c:v>
                </c:pt>
                <c:pt idx="110">
                  <c:v>2.7016488136097305E-2</c:v>
                </c:pt>
                <c:pt idx="111">
                  <c:v>2.5164198011872141E-2</c:v>
                </c:pt>
                <c:pt idx="112">
                  <c:v>2.3450335279099843E-2</c:v>
                </c:pt>
                <c:pt idx="113">
                  <c:v>2.1864230222364556E-2</c:v>
                </c:pt>
                <c:pt idx="114">
                  <c:v>2.0396043979052259E-2</c:v>
                </c:pt>
                <c:pt idx="115">
                  <c:v>1.9036703628486085E-2</c:v>
                </c:pt>
                <c:pt idx="116">
                  <c:v>1.7777842357103002E-2</c:v>
                </c:pt>
                <c:pt idx="117">
                  <c:v>1.6611744302820475E-2</c:v>
                </c:pt>
                <c:pt idx="118">
                  <c:v>1.553129371276929E-2</c:v>
                </c:pt>
                <c:pt idx="119">
                  <c:v>1.4529928076586873E-2</c:v>
                </c:pt>
                <c:pt idx="120">
                  <c:v>1.3601594925198579E-2</c:v>
                </c:pt>
                <c:pt idx="121">
                  <c:v>1.2740712006985622E-2</c:v>
                </c:pt>
                <c:pt idx="122">
                  <c:v>1.1942130578291743E-2</c:v>
                </c:pt>
                <c:pt idx="123">
                  <c:v>1.1201101564206117E-2</c:v>
                </c:pt>
                <c:pt idx="124">
                  <c:v>1.0513244365182028E-2</c:v>
                </c:pt>
                <c:pt idx="125">
                  <c:v>9.8745181022088513E-3</c:v>
                </c:pt>
                <c:pt idx="126">
                  <c:v>9.2811951102663715E-3</c:v>
                </c:pt>
                <c:pt idx="127">
                  <c:v>8.7298365040203163E-3</c:v>
                </c:pt>
                <c:pt idx="128">
                  <c:v>8.2172696535079415E-3</c:v>
                </c:pt>
                <c:pt idx="129">
                  <c:v>7.7405674202999375E-3</c:v>
                </c:pt>
                <c:pt idx="130">
                  <c:v>7.2970290171310292E-3</c:v>
                </c:pt>
                <c:pt idx="131">
                  <c:v>6.8841623631096249E-3</c:v>
                </c:pt>
                <c:pt idx="132">
                  <c:v>6.4996678180756495E-3</c:v>
                </c:pt>
                <c:pt idx="133">
                  <c:v>6.1414231881565806E-3</c:v>
                </c:pt>
                <c:pt idx="134">
                  <c:v>5.8074699028065613E-3</c:v>
                </c:pt>
                <c:pt idx="135">
                  <c:v>5.4960002724079859E-3</c:v>
                </c:pt>
                <c:pt idx="136">
                  <c:v>5.2053457407404413E-3</c:v>
                </c:pt>
                <c:pt idx="137">
                  <c:v>4.9339660558640475E-3</c:v>
                </c:pt>
                <c:pt idx="138">
                  <c:v>4.6804392865856803E-3</c:v>
                </c:pt>
                <c:pt idx="139">
                  <c:v>4.4434526186738765E-3</c:v>
                </c:pt>
                <c:pt idx="140">
                  <c:v>4.2217938702759084E-3</c:v>
                </c:pt>
                <c:pt idx="141">
                  <c:v>4.0143436692984258E-3</c:v>
                </c:pt>
                <c:pt idx="142">
                  <c:v>3.8200682424239241E-3</c:v>
                </c:pt>
                <c:pt idx="143">
                  <c:v>3.6380127661516382E-3</c:v>
                </c:pt>
                <c:pt idx="144">
                  <c:v>3.4672952377514943E-3</c:v>
                </c:pt>
                <c:pt idx="145">
                  <c:v>3.3071008239732858E-3</c:v>
                </c:pt>
                <c:pt idx="146">
                  <c:v>3.1566766513503874E-3</c:v>
                </c:pt>
                <c:pt idx="147">
                  <c:v>3.015327002331869E-3</c:v>
                </c:pt>
                <c:pt idx="148">
                  <c:v>2.8824088869495168E-3</c:v>
                </c:pt>
                <c:pt idx="149">
                  <c:v>2.7573279592136291E-3</c:v>
                </c:pt>
                <c:pt idx="150">
                  <c:v>2.6395347524930113E-3</c:v>
                </c:pt>
                <c:pt idx="151">
                  <c:v>2.5285212083548392E-3</c:v>
                </c:pt>
                <c:pt idx="152">
                  <c:v>2.4238174754838693E-3</c:v>
                </c:pt>
                <c:pt idx="153">
                  <c:v>2.3249889591461237E-3</c:v>
                </c:pt>
                <c:pt idx="154">
                  <c:v>2.2316335993481096E-3</c:v>
                </c:pt>
                <c:pt idx="155">
                  <c:v>2.1433793620880826E-3</c:v>
                </c:pt>
                <c:pt idx="156">
                  <c:v>2.0598819253608569E-3</c:v>
                </c:pt>
                <c:pt idx="157">
                  <c:v>1.9808225454647221E-3</c:v>
                </c:pt>
                <c:pt idx="158">
                  <c:v>1.905906089717857E-3</c:v>
                </c:pt>
                <c:pt idx="159">
                  <c:v>1.8348592217997117E-3</c:v>
                </c:pt>
                <c:pt idx="160">
                  <c:v>1.7674287287152146E-3</c:v>
                </c:pt>
                <c:pt idx="161">
                  <c:v>1.7033799772670777E-3</c:v>
                </c:pt>
                <c:pt idx="162">
                  <c:v>1.6424954914611434E-3</c:v>
                </c:pt>
                <c:pt idx="163">
                  <c:v>1.5845736393473864E-3</c:v>
                </c:pt>
                <c:pt idx="164">
                  <c:v>1.5294274227453386E-3</c:v>
                </c:pt>
                <c:pt idx="165">
                  <c:v>1.4768833606405574E-3</c:v>
                </c:pt>
                <c:pt idx="166">
                  <c:v>1.4267804590839539E-3</c:v>
                </c:pt>
                <c:pt idx="167">
                  <c:v>1.3789692611061166E-3</c:v>
                </c:pt>
                <c:pt idx="168">
                  <c:v>1.3333109707008989E-3</c:v>
                </c:pt>
                <c:pt idx="169">
                  <c:v>1.2896766438331014E-3</c:v>
                </c:pt>
                <c:pt idx="170">
                  <c:v>1.2479464431466025E-3</c:v>
                </c:pt>
                <c:pt idx="171">
                  <c:v>1.2080089494988233E-3</c:v>
                </c:pt>
                <c:pt idx="172">
                  <c:v>1.1697605270847011E-3</c:v>
                </c:pt>
                <c:pt idx="173">
                  <c:v>1.1331047380169212E-3</c:v>
                </c:pt>
                <c:pt idx="174">
                  <c:v>1.0979518012916023E-3</c:v>
                </c:pt>
                <c:pt idx="175">
                  <c:v>1.0642180943801899E-3</c:v>
                </c:pt>
                <c:pt idx="176">
                  <c:v>1.0318256929181813E-3</c:v>
                </c:pt>
                <c:pt idx="177">
                  <c:v>1.0007019454293664E-3</c:v>
                </c:pt>
                <c:pt idx="178">
                  <c:v>9.7077908192670648E-4</c:v>
                </c:pt>
                <c:pt idx="179">
                  <c:v>9.4199385117987866E-4</c:v>
                </c:pt>
                <c:pt idx="180">
                  <c:v>9.1428718733617409E-4</c:v>
                </c:pt>
                <c:pt idx="181">
                  <c:v>8.8760390082003038E-4</c:v>
                </c:pt>
                <c:pt idx="182">
                  <c:v>8.6189239415890295E-4</c:v>
                </c:pt>
                <c:pt idx="183">
                  <c:v>8.3710439837329786E-4</c:v>
                </c:pt>
                <c:pt idx="184">
                  <c:v>8.1319473076695015E-4</c:v>
                </c:pt>
                <c:pt idx="185">
                  <c:v>7.9012107002532361E-4</c:v>
                </c:pt>
                <c:pt idx="186">
                  <c:v>7.6784374960293944E-4</c:v>
                </c:pt>
                <c:pt idx="187">
                  <c:v>7.4632556601336719E-4</c:v>
                </c:pt>
                <c:pt idx="188">
                  <c:v>7.2553160214101908E-4</c:v>
                </c:pt>
                <c:pt idx="189">
                  <c:v>7.0542906389979565E-4</c:v>
                </c:pt>
                <c:pt idx="190">
                  <c:v>6.8598712929016092E-4</c:v>
                </c:pt>
                <c:pt idx="191">
                  <c:v>6.6717680875102992E-4</c:v>
                </c:pt>
                <c:pt idx="192">
                  <c:v>6.4897081627597608E-4</c:v>
                </c:pt>
                <c:pt idx="193">
                  <c:v>6.3134345016803428E-4</c:v>
                </c:pt>
                <c:pt idx="194">
                  <c:v>6.1427048273999391E-4</c:v>
                </c:pt>
                <c:pt idx="195">
                  <c:v>5.9772905840298207E-4</c:v>
                </c:pt>
                <c:pt idx="196">
                  <c:v>5.8169759920941033E-4</c:v>
                </c:pt>
                <c:pt idx="197">
                  <c:v>5.6615571768602047E-4</c:v>
                </c:pt>
                <c:pt idx="198">
                  <c:v>5.5108413609777224E-4</c:v>
                </c:pt>
                <c:pt idx="199">
                  <c:v>5.3646461153866731E-4</c:v>
                </c:pt>
                <c:pt idx="200">
                  <c:v>5.2227986699334567E-4</c:v>
                </c:pt>
                <c:pt idx="201">
                  <c:v>5.0851352694549629E-4</c:v>
                </c:pt>
                <c:pt idx="202">
                  <c:v>4.9515005834493281E-4</c:v>
                </c:pt>
                <c:pt idx="203">
                  <c:v>4.8217471532328166E-4</c:v>
                </c:pt>
                <c:pt idx="204">
                  <c:v>4.6957348841914631E-4</c:v>
                </c:pt>
                <c:pt idx="205">
                  <c:v>4.5733305738615559E-4</c:v>
                </c:pt>
                <c:pt idx="206">
                  <c:v>4.4544074717905308E-4</c:v>
                </c:pt>
                <c:pt idx="207">
                  <c:v>4.3388448767313348E-4</c:v>
                </c:pt>
                <c:pt idx="208">
                  <c:v>4.2265277550206787E-4</c:v>
                </c:pt>
                <c:pt idx="209">
                  <c:v>4.117346396503227E-4</c:v>
                </c:pt>
                <c:pt idx="210">
                  <c:v>4.0111960847256933E-4</c:v>
                </c:pt>
                <c:pt idx="211">
                  <c:v>3.9079767973997093E-4</c:v>
                </c:pt>
                <c:pt idx="212">
                  <c:v>3.8075929281481541E-4</c:v>
                </c:pt>
                <c:pt idx="213">
                  <c:v>3.7099530223030225E-4</c:v>
                </c:pt>
                <c:pt idx="214">
                  <c:v>3.6149695367364981E-4</c:v>
                </c:pt>
                <c:pt idx="215">
                  <c:v>3.5225586150145621E-4</c:v>
                </c:pt>
                <c:pt idx="216">
                  <c:v>3.4326398757772436E-4</c:v>
                </c:pt>
                <c:pt idx="217">
                  <c:v>3.3451362195777157E-4</c:v>
                </c:pt>
                <c:pt idx="218">
                  <c:v>3.2599736459584805E-4</c:v>
                </c:pt>
                <c:pt idx="219">
                  <c:v>3.1770810843727293E-4</c:v>
                </c:pt>
                <c:pt idx="220">
                  <c:v>3.0963902349960548E-4</c:v>
                </c:pt>
                <c:pt idx="221">
                  <c:v>3.0178354229240881E-4</c:v>
                </c:pt>
                <c:pt idx="222">
                  <c:v>2.9413534593243293E-4</c:v>
                </c:pt>
                <c:pt idx="223">
                  <c:v>2.8668835135825868E-4</c:v>
                </c:pt>
                <c:pt idx="224">
                  <c:v>2.7943669921221687E-4</c:v>
                </c:pt>
                <c:pt idx="225">
                  <c:v>2.7237474281096782E-4</c:v>
                </c:pt>
                <c:pt idx="226">
                  <c:v>2.6549703736959349E-4</c:v>
                </c:pt>
                <c:pt idx="227">
                  <c:v>2.5879833031859992E-4</c:v>
                </c:pt>
                <c:pt idx="228">
                  <c:v>2.5227355216141112E-4</c:v>
                </c:pt>
                <c:pt idx="229">
                  <c:v>2.459178075888413E-4</c:v>
                </c:pt>
                <c:pt idx="230">
                  <c:v>2.3972636753501544E-4</c:v>
                </c:pt>
                <c:pt idx="231">
                  <c:v>2.336946616134164E-4</c:v>
                </c:pt>
                <c:pt idx="232">
                  <c:v>2.2781827089210158E-4</c:v>
                </c:pt>
                <c:pt idx="233">
                  <c:v>2.2209292106991838E-4</c:v>
                </c:pt>
                <c:pt idx="234">
                  <c:v>2.1651447630413254E-4</c:v>
                </c:pt>
                <c:pt idx="235">
                  <c:v>2.1107893329580518E-4</c:v>
                </c:pt>
                <c:pt idx="236">
                  <c:v>2.0578241547444462E-4</c:v>
                </c:pt>
                <c:pt idx="237">
                  <c:v>2.0062116792031112E-4</c:v>
                </c:pt>
                <c:pt idx="238">
                  <c:v>1.9559155222625621E-4</c:v>
                </c:pt>
                <c:pt idx="239">
                  <c:v>1.9069004193066064E-4</c:v>
                </c:pt>
                <c:pt idx="240">
                  <c:v>1.8591321783156464E-4</c:v>
                </c:pt>
                <c:pt idx="241">
                  <c:v>1.8125776411830399E-4</c:v>
                </c:pt>
                <c:pt idx="242">
                  <c:v>1.7672046397354535E-4</c:v>
                </c:pt>
                <c:pt idx="243">
                  <c:v>1.7229819628583956E-4</c:v>
                </c:pt>
                <c:pt idx="244">
                  <c:v>1.6798793150220315E-4</c:v>
                </c:pt>
                <c:pt idx="245">
                  <c:v>1.6378672882010753E-4</c:v>
                </c:pt>
                <c:pt idx="246">
                  <c:v>1.5969173238922219E-4</c:v>
                </c:pt>
                <c:pt idx="247">
                  <c:v>1.5570016883664599E-4</c:v>
                </c:pt>
                <c:pt idx="248">
                  <c:v>1.5180934374787666E-4</c:v>
                </c:pt>
                <c:pt idx="249">
                  <c:v>1.4801663935558838E-4</c:v>
                </c:pt>
                <c:pt idx="250">
                  <c:v>1.4431951169800727E-4</c:v>
                </c:pt>
                <c:pt idx="251">
                  <c:v>1.4071548820791292E-4</c:v>
                </c:pt>
                <c:pt idx="252">
                  <c:v>1.3720216507059554E-4</c:v>
                </c:pt>
                <c:pt idx="253">
                  <c:v>1.3377720531634017E-4</c:v>
                </c:pt>
                <c:pt idx="254">
                  <c:v>1.3043833618695856E-4</c:v>
                </c:pt>
                <c:pt idx="255">
                  <c:v>1.2718334740888931E-4</c:v>
                </c:pt>
                <c:pt idx="256">
                  <c:v>1.2401008901810791E-4</c:v>
                </c:pt>
                <c:pt idx="257">
                  <c:v>1.2091646945141567E-4</c:v>
                </c:pt>
                <c:pt idx="258">
                  <c:v>1.1790045365334817E-4</c:v>
                </c:pt>
                <c:pt idx="259">
                  <c:v>1.149600615945167E-4</c:v>
                </c:pt>
                <c:pt idx="260">
                  <c:v>1.1209336613883861E-4</c:v>
                </c:pt>
                <c:pt idx="261">
                  <c:v>1.0929849170401851E-4</c:v>
                </c:pt>
                <c:pt idx="262">
                  <c:v>1.0657361277983946E-4</c:v>
                </c:pt>
                <c:pt idx="263">
                  <c:v>1.039169522069304E-4</c:v>
                </c:pt>
                <c:pt idx="264">
                  <c:v>1.0132677972652868E-4</c:v>
                </c:pt>
                <c:pt idx="265">
                  <c:v>9.8801410934929237E-5</c:v>
                </c:pt>
                <c:pt idx="266">
                  <c:v>9.6339205413518633E-5</c:v>
                </c:pt>
                <c:pt idx="267">
                  <c:v>9.3938566017316358E-5</c:v>
                </c:pt>
                <c:pt idx="268">
                  <c:v>9.1597937116905462E-5</c:v>
                </c:pt>
                <c:pt idx="269">
                  <c:v>8.9315803839673177E-5</c:v>
                </c:pt>
                <c:pt idx="270">
                  <c:v>8.7090690567790188E-5</c:v>
                </c:pt>
                <c:pt idx="271">
                  <c:v>8.4921160059462167E-5</c:v>
                </c:pt>
                <c:pt idx="272">
                  <c:v>8.2805812175089366E-5</c:v>
                </c:pt>
                <c:pt idx="273">
                  <c:v>8.0743283022103457E-5</c:v>
                </c:pt>
                <c:pt idx="274">
                  <c:v>7.8732243946321237E-5</c:v>
                </c:pt>
                <c:pt idx="275">
                  <c:v>7.6771400378182648E-5</c:v>
                </c:pt>
                <c:pt idx="276">
                  <c:v>7.4859491096711944E-5</c:v>
                </c:pt>
                <c:pt idx="277">
                  <c:v>7.2995287057421414E-5</c:v>
                </c:pt>
                <c:pt idx="278">
                  <c:v>7.1177590903612024E-5</c:v>
                </c:pt>
                <c:pt idx="279">
                  <c:v>6.9405235729215475E-5</c:v>
                </c:pt>
                <c:pt idx="280">
                  <c:v>6.7677084485059068E-5</c:v>
                </c:pt>
                <c:pt idx="281">
                  <c:v>6.5992029102176358E-5</c:v>
                </c:pt>
                <c:pt idx="282">
                  <c:v>6.4348989784058196E-5</c:v>
                </c:pt>
                <c:pt idx="283">
                  <c:v>6.2746914004761442E-5</c:v>
                </c:pt>
                <c:pt idx="284">
                  <c:v>6.1184776251678105E-5</c:v>
                </c:pt>
                <c:pt idx="285">
                  <c:v>5.9661576754280535E-5</c:v>
                </c:pt>
                <c:pt idx="286">
                  <c:v>5.8176341327608599E-5</c:v>
                </c:pt>
                <c:pt idx="287">
                  <c:v>5.6728120194813984E-5</c:v>
                </c:pt>
                <c:pt idx="288">
                  <c:v>5.5315987849069263E-5</c:v>
                </c:pt>
                <c:pt idx="289">
                  <c:v>5.3939041973020789E-5</c:v>
                </c:pt>
                <c:pt idx="290">
                  <c:v>5.2596403275043807E-5</c:v>
                </c:pt>
                <c:pt idx="291">
                  <c:v>5.1287214326760019E-5</c:v>
                </c:pt>
                <c:pt idx="292">
                  <c:v>5.0010639617101976E-5</c:v>
                </c:pt>
                <c:pt idx="293">
                  <c:v>4.8765864567898269E-5</c:v>
                </c:pt>
                <c:pt idx="294">
                  <c:v>4.7552095060594997E-5</c:v>
                </c:pt>
                <c:pt idx="295">
                  <c:v>4.6368556952515981E-5</c:v>
                </c:pt>
                <c:pt idx="296">
                  <c:v>4.5214495754901558E-5</c:v>
                </c:pt>
                <c:pt idx="297">
                  <c:v>4.4089175680658149E-5</c:v>
                </c:pt>
                <c:pt idx="298">
                  <c:v>4.299187966792014E-5</c:v>
                </c:pt>
                <c:pt idx="299">
                  <c:v>4.1921908406224694E-5</c:v>
                </c:pt>
                <c:pt idx="300">
                  <c:v>4.0878580376728715E-5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6-4FA1-A4F0-DD34076B9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13743"/>
        <c:axId val="823990223"/>
      </c:scatterChart>
      <c:valAx>
        <c:axId val="82401374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[s]</a:t>
                </a:r>
                <a:endParaRPr 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3990223"/>
        <c:crossesAt val="-10000"/>
        <c:crossBetween val="midCat"/>
      </c:valAx>
      <c:valAx>
        <c:axId val="8239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Deflection, </a:t>
                </a:r>
                <a:r>
                  <a:rPr lang="en-US" sz="1600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δ_a</a:t>
                </a: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[deg]</a:t>
                </a:r>
              </a:p>
            </c:rich>
          </c:tx>
          <c:layout>
            <c:manualLayout>
              <c:xMode val="edge"/>
              <c:yMode val="edge"/>
              <c:x val="2.4180634883555031E-2"/>
              <c:y val="0.234119632909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401374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52176511381282031"/>
          <c:y val="0.54685365477958658"/>
          <c:w val="0.14761263461002883"/>
          <c:h val="0.11619004767261235"/>
        </c:manualLayout>
      </c:layout>
      <c:overlay val="0"/>
      <c:spPr>
        <a:solidFill>
          <a:schemeClr val="bg1"/>
        </a:solidFill>
        <a:ln w="19050">
          <a:solidFill>
            <a:schemeClr val="dk1"/>
          </a:soli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8956118566963"/>
          <c:y val="3.1849676898883975E-2"/>
          <c:w val="0.83826328154029006"/>
          <c:h val="0.79459397771748719"/>
        </c:manualLayout>
      </c:layout>
      <c:scatterChart>
        <c:scatterStyle val="lineMarker"/>
        <c:varyColors val="0"/>
        <c:ser>
          <c:idx val="1"/>
          <c:order val="0"/>
          <c:tx>
            <c:v>PID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dk1"/>
                </a:solidFill>
              </a:ln>
              <a:effectLst/>
            </c:spPr>
          </c:marker>
          <c:xVal>
            <c:numRef>
              <c:f>Sheet1!$M$6:$M$306</c:f>
              <c:numCache>
                <c:formatCode>0.00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Sheet1!$V$6:$V$306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3.9663153939347877E-2</c:v>
                </c:pt>
                <c:pt idx="3">
                  <c:v>0.11810616197299237</c:v>
                </c:pt>
                <c:pt idx="4">
                  <c:v>0.23446539537476152</c:v>
                </c:pt>
                <c:pt idx="5">
                  <c:v>0.38789645846084742</c:v>
                </c:pt>
                <c:pt idx="6">
                  <c:v>0.57757376026927065</c:v>
                </c:pt>
                <c:pt idx="7">
                  <c:v>0.80269009577805828</c:v>
                </c:pt>
                <c:pt idx="8">
                  <c:v>1.0624562364497074</c:v>
                </c:pt>
                <c:pt idx="9">
                  <c:v>1.3561005298942388</c:v>
                </c:pt>
                <c:pt idx="10">
                  <c:v>1.6828685084477681</c:v>
                </c:pt>
                <c:pt idx="11">
                  <c:v>2.042022506468046</c:v>
                </c:pt>
                <c:pt idx="12">
                  <c:v>2.4328412861528403</c:v>
                </c:pt>
                <c:pt idx="13">
                  <c:v>2.8546196716913563</c:v>
                </c:pt>
                <c:pt idx="14">
                  <c:v>3.3066681915631184</c:v>
                </c:pt>
                <c:pt idx="15">
                  <c:v>3.7883127288028664</c:v>
                </c:pt>
                <c:pt idx="16">
                  <c:v>4.2988941790540665</c:v>
                </c:pt>
                <c:pt idx="17">
                  <c:v>4.8377681162375836</c:v>
                </c:pt>
                <c:pt idx="18">
                  <c:v>5.4043044656659216</c:v>
                </c:pt>
                <c:pt idx="19">
                  <c:v>5.9978871844372241</c:v>
                </c:pt>
                <c:pt idx="20">
                  <c:v>6.6179139489469092</c:v>
                </c:pt>
                <c:pt idx="21">
                  <c:v>7.2637958493584325</c:v>
                </c:pt>
                <c:pt idx="22">
                  <c:v>7.9349570908781981</c:v>
                </c:pt>
                <c:pt idx="23">
                  <c:v>8.6136761925163761</c:v>
                </c:pt>
                <c:pt idx="24">
                  <c:v>9.2857652093573169</c:v>
                </c:pt>
                <c:pt idx="25">
                  <c:v>9.9415860998824215</c:v>
                </c:pt>
                <c:pt idx="26">
                  <c:v>10.574467773140327</c:v>
                </c:pt>
                <c:pt idx="27">
                  <c:v>11.180081907606558</c:v>
                </c:pt>
                <c:pt idx="28">
                  <c:v>11.755817959126592</c:v>
                </c:pt>
                <c:pt idx="29">
                  <c:v>12.300342196083207</c:v>
                </c:pt>
                <c:pt idx="30">
                  <c:v>12.813252303327074</c:v>
                </c:pt>
                <c:pt idx="31">
                  <c:v>13.294817007302711</c:v>
                </c:pt>
                <c:pt idx="32">
                  <c:v>13.745778176526812</c:v>
                </c:pt>
                <c:pt idx="33">
                  <c:v>14.16720160757764</c:v>
                </c:pt>
                <c:pt idx="34">
                  <c:v>14.560364967085713</c:v>
                </c:pt>
                <c:pt idx="35">
                  <c:v>14.926674228926327</c:v>
                </c:pt>
                <c:pt idx="36">
                  <c:v>15.267601879546659</c:v>
                </c:pt>
                <c:pt idx="37">
                  <c:v>15.584641726821328</c:v>
                </c:pt>
                <c:pt idx="38">
                  <c:v>15.879276335954797</c:v>
                </c:pt>
                <c:pt idx="39">
                  <c:v>16.152954036879269</c:v>
                </c:pt>
                <c:pt idx="40">
                  <c:v>16.407073156745366</c:v>
                </c:pt>
                <c:pt idx="41">
                  <c:v>16.64297167810091</c:v>
                </c:pt>
                <c:pt idx="42">
                  <c:v>16.861920944829588</c:v>
                </c:pt>
                <c:pt idx="43">
                  <c:v>17.065122362592831</c:v>
                </c:pt>
                <c:pt idx="44">
                  <c:v>17.253706290457107</c:v>
                </c:pt>
                <c:pt idx="45">
                  <c:v>17.42873251266748</c:v>
                </c:pt>
                <c:pt idx="46">
                  <c:v>17.591191827323993</c:v>
                </c:pt>
                <c:pt idx="47">
                  <c:v>17.742008402206864</c:v>
                </c:pt>
                <c:pt idx="48">
                  <c:v>17.882042635036804</c:v>
                </c:pt>
                <c:pt idx="49">
                  <c:v>18.012094322113352</c:v>
                </c:pt>
                <c:pt idx="50">
                  <c:v>18.132905990229602</c:v>
                </c:pt>
                <c:pt idx="51">
                  <c:v>18.245166285629264</c:v>
                </c:pt>
                <c:pt idx="52">
                  <c:v>18.34951334334022</c:v>
                </c:pt>
                <c:pt idx="53">
                  <c:v>18.446538082638739</c:v>
                </c:pt>
                <c:pt idx="54">
                  <c:v>18.536787391329035</c:v>
                </c:pt>
                <c:pt idx="55">
                  <c:v>18.620767174243309</c:v>
                </c:pt>
                <c:pt idx="56">
                  <c:v>18.698945250863328</c:v>
                </c:pt>
                <c:pt idx="57">
                  <c:v>18.771754093995305</c:v>
                </c:pt>
                <c:pt idx="58">
                  <c:v>18.839593406580079</c:v>
                </c:pt>
                <c:pt idx="59">
                  <c:v>18.902832537440009</c:v>
                </c:pt>
                <c:pt idx="60">
                  <c:v>18.961812739398319</c:v>
                </c:pt>
                <c:pt idx="61">
                  <c:v>19.016849275021414</c:v>
                </c:pt>
                <c:pt idx="62">
                  <c:v>19.068233376433657</c:v>
                </c:pt>
                <c:pt idx="63">
                  <c:v>19.116234066392934</c:v>
                </c:pt>
                <c:pt idx="64">
                  <c:v>19.161099848213791</c:v>
                </c:pt>
                <c:pt idx="65">
                  <c:v>19.203060272273468</c:v>
                </c:pt>
                <c:pt idx="66">
                  <c:v>19.242327386804412</c:v>
                </c:pt>
                <c:pt idx="67">
                  <c:v>19.279097080517126</c:v>
                </c:pt>
                <c:pt idx="68">
                  <c:v>19.313550324349254</c:v>
                </c:pt>
                <c:pt idx="69">
                  <c:v>19.345854319330368</c:v>
                </c:pt>
                <c:pt idx="70">
                  <c:v>19.376163557209416</c:v>
                </c:pt>
                <c:pt idx="71">
                  <c:v>19.404620800129585</c:v>
                </c:pt>
                <c:pt idx="72">
                  <c:v>19.431357985265528</c:v>
                </c:pt>
                <c:pt idx="73">
                  <c:v>19.45649705996944</c:v>
                </c:pt>
                <c:pt idx="74">
                  <c:v>19.480150752611273</c:v>
                </c:pt>
                <c:pt idx="75">
                  <c:v>19.502423283949025</c:v>
                </c:pt>
                <c:pt idx="76">
                  <c:v>19.523411023530098</c:v>
                </c:pt>
                <c:pt idx="77">
                  <c:v>19.543203095306279</c:v>
                </c:pt>
                <c:pt idx="78">
                  <c:v>19.56188193634355</c:v>
                </c:pt>
                <c:pt idx="79">
                  <c:v>19.579523812224458</c:v>
                </c:pt>
                <c:pt idx="80">
                  <c:v>19.596199292474775</c:v>
                </c:pt>
                <c:pt idx="81">
                  <c:v>19.611973689097567</c:v>
                </c:pt>
                <c:pt idx="82">
                  <c:v>19.626907461065855</c:v>
                </c:pt>
                <c:pt idx="83">
                  <c:v>19.641056587409203</c:v>
                </c:pt>
                <c:pt idx="84">
                  <c:v>19.654472911328963</c:v>
                </c:pt>
                <c:pt idx="85">
                  <c:v>19.667204457590753</c:v>
                </c:pt>
                <c:pt idx="86">
                  <c:v>19.679295725270151</c:v>
                </c:pt>
                <c:pt idx="87">
                  <c:v>19.690787957767849</c:v>
                </c:pt>
                <c:pt idx="88">
                  <c:v>19.701719391862536</c:v>
                </c:pt>
                <c:pt idx="89">
                  <c:v>19.712125487433084</c:v>
                </c:pt>
                <c:pt idx="90">
                  <c:v>19.722039139355203</c:v>
                </c:pt>
                <c:pt idx="91">
                  <c:v>19.731490872960869</c:v>
                </c:pt>
                <c:pt idx="92">
                  <c:v>19.740509024341094</c:v>
                </c:pt>
                <c:pt idx="93">
                  <c:v>19.749119906672931</c:v>
                </c:pt>
                <c:pt idx="94">
                  <c:v>19.75734796365975</c:v>
                </c:pt>
                <c:pt idx="95">
                  <c:v>19.76521591108899</c:v>
                </c:pt>
                <c:pt idx="96">
                  <c:v>19.772744867433339</c:v>
                </c:pt>
                <c:pt idx="97">
                  <c:v>19.779954474349115</c:v>
                </c:pt>
                <c:pt idx="98">
                  <c:v>19.786863007859029</c:v>
                </c:pt>
                <c:pt idx="99">
                  <c:v>19.793487480945089</c:v>
                </c:pt>
                <c:pt idx="100">
                  <c:v>19.799843738220808</c:v>
                </c:pt>
                <c:pt idx="101">
                  <c:v>19.805946543299608</c:v>
                </c:pt>
                <c:pt idx="102">
                  <c:v>19.811809659428196</c:v>
                </c:pt>
                <c:pt idx="103">
                  <c:v>19.817445923909258</c:v>
                </c:pt>
                <c:pt idx="104">
                  <c:v>19.822867316796909</c:v>
                </c:pt>
                <c:pt idx="105">
                  <c:v>19.828085024310578</c:v>
                </c:pt>
                <c:pt idx="106">
                  <c:v>19.83310949737821</c:v>
                </c:pt>
                <c:pt idx="107">
                  <c:v>19.837950505687587</c:v>
                </c:pt>
                <c:pt idx="108">
                  <c:v>19.842617187595021</c:v>
                </c:pt>
                <c:pt idx="109">
                  <c:v>19.847118096213368</c:v>
                </c:pt>
                <c:pt idx="110">
                  <c:v>19.851461241976214</c:v>
                </c:pt>
                <c:pt idx="111">
                  <c:v>19.855654131951901</c:v>
                </c:pt>
                <c:pt idx="112">
                  <c:v>19.859703806159676</c:v>
                </c:pt>
                <c:pt idx="113">
                  <c:v>19.863616871120623</c:v>
                </c:pt>
                <c:pt idx="114">
                  <c:v>19.867399530857814</c:v>
                </c:pt>
                <c:pt idx="115">
                  <c:v>19.871057615543414</c:v>
                </c:pt>
                <c:pt idx="116">
                  <c:v>19.874596607975079</c:v>
                </c:pt>
                <c:pt idx="117">
                  <c:v>19.878021668049694</c:v>
                </c:pt>
                <c:pt idx="118">
                  <c:v>19.881337655389473</c:v>
                </c:pt>
                <c:pt idx="119">
                  <c:v>19.884549150263275</c:v>
                </c:pt>
                <c:pt idx="120">
                  <c:v>19.887660472934961</c:v>
                </c:pt>
                <c:pt idx="121">
                  <c:v>19.890675701560205</c:v>
                </c:pt>
                <c:pt idx="122">
                  <c:v>19.89359868874384</c:v>
                </c:pt>
                <c:pt idx="123">
                  <c:v>19.896433076861001</c:v>
                </c:pt>
                <c:pt idx="124">
                  <c:v>19.899182312237354</c:v>
                </c:pt>
                <c:pt idx="125">
                  <c:v>19.901849658276195</c:v>
                </c:pt>
                <c:pt idx="126">
                  <c:v>19.90443820761346</c:v>
                </c:pt>
                <c:pt idx="127">
                  <c:v>19.906950893375328</c:v>
                </c:pt>
                <c:pt idx="128">
                  <c:v>19.909390499607301</c:v>
                </c:pt>
                <c:pt idx="129">
                  <c:v>19.911759670938277</c:v>
                </c:pt>
                <c:pt idx="130">
                  <c:v>19.914060921538226</c:v>
                </c:pt>
                <c:pt idx="131">
                  <c:v>19.916296643423497</c:v>
                </c:pt>
                <c:pt idx="132">
                  <c:v>19.918469114159585</c:v>
                </c:pt>
                <c:pt idx="133">
                  <c:v>19.920580504007347</c:v>
                </c:pt>
                <c:pt idx="134">
                  <c:v>19.922632882555042</c:v>
                </c:pt>
                <c:pt idx="135">
                  <c:v>19.924628224875345</c:v>
                </c:pt>
                <c:pt idx="136">
                  <c:v>19.926568417243367</c:v>
                </c:pt>
                <c:pt idx="137">
                  <c:v>19.928455262449006</c:v>
                </c:pt>
                <c:pt idx="138">
                  <c:v>19.930290484734321</c:v>
                </c:pt>
                <c:pt idx="139">
                  <c:v>19.932075734384238</c:v>
                </c:pt>
                <c:pt idx="140">
                  <c:v>19.933812591996762</c:v>
                </c:pt>
                <c:pt idx="141">
                  <c:v>19.935502572456777</c:v>
                </c:pt>
                <c:pt idx="142">
                  <c:v>19.937147128635718</c:v>
                </c:pt>
                <c:pt idx="143">
                  <c:v>19.938747654837623</c:v>
                </c:pt>
                <c:pt idx="144">
                  <c:v>19.940305490010534</c:v>
                </c:pt>
                <c:pt idx="145">
                  <c:v>19.941821920740729</c:v>
                </c:pt>
                <c:pt idx="146">
                  <c:v>19.94329818404595</c:v>
                </c:pt>
                <c:pt idx="147">
                  <c:v>19.944735469982486</c:v>
                </c:pt>
                <c:pt idx="148">
                  <c:v>19.946134924079914</c:v>
                </c:pt>
                <c:pt idx="149">
                  <c:v>19.94749764961616</c:v>
                </c:pt>
                <c:pt idx="150">
                  <c:v>19.948824709744638</c:v>
                </c:pt>
                <c:pt idx="151">
                  <c:v>19.950117129484276</c:v>
                </c:pt>
                <c:pt idx="152">
                  <c:v>19.951375897582412</c:v>
                </c:pt>
                <c:pt idx="153">
                  <c:v>19.952601968259849</c:v>
                </c:pt>
                <c:pt idx="154">
                  <c:v>19.953796262846524</c:v>
                </c:pt>
                <c:pt idx="155">
                  <c:v>19.954959671315741</c:v>
                </c:pt>
                <c:pt idx="156">
                  <c:v>19.956093053724203</c:v>
                </c:pt>
                <c:pt idx="157">
                  <c:v>19.957197241564572</c:v>
                </c:pt>
                <c:pt idx="158">
                  <c:v>19.958273039036808</c:v>
                </c:pt>
                <c:pt idx="159">
                  <c:v>19.95932122424399</c:v>
                </c:pt>
                <c:pt idx="160">
                  <c:v>19.960342550317961</c:v>
                </c:pt>
                <c:pt idx="161">
                  <c:v>19.961337746479675</c:v>
                </c:pt>
                <c:pt idx="162">
                  <c:v>19.962307519038838</c:v>
                </c:pt>
                <c:pt idx="163">
                  <c:v>19.963252552336979</c:v>
                </c:pt>
                <c:pt idx="164">
                  <c:v>19.964173509637885</c:v>
                </c:pt>
                <c:pt idx="165">
                  <c:v>19.965071033968979</c:v>
                </c:pt>
                <c:pt idx="166">
                  <c:v>19.965945748916955</c:v>
                </c:pt>
                <c:pt idx="167">
                  <c:v>19.966798259380752</c:v>
                </c:pt>
                <c:pt idx="168">
                  <c:v>19.967629152284751</c:v>
                </c:pt>
                <c:pt idx="169">
                  <c:v>19.968438997254765</c:v>
                </c:pt>
                <c:pt idx="170">
                  <c:v>19.969228347259349</c:v>
                </c:pt>
                <c:pt idx="171">
                  <c:v>19.969997739218627</c:v>
                </c:pt>
                <c:pt idx="172">
                  <c:v>19.970747694582755</c:v>
                </c:pt>
                <c:pt idx="173">
                  <c:v>19.971478719882004</c:v>
                </c:pt>
                <c:pt idx="174">
                  <c:v>19.972191307250196</c:v>
                </c:pt>
                <c:pt idx="175">
                  <c:v>19.972885934923227</c:v>
                </c:pt>
                <c:pt idx="176">
                  <c:v>19.973563067714213</c:v>
                </c:pt>
                <c:pt idx="177">
                  <c:v>19.974223157466664</c:v>
                </c:pt>
                <c:pt idx="178">
                  <c:v>19.97486664348709</c:v>
                </c:pt>
                <c:pt idx="179">
                  <c:v>19.97549395295821</c:v>
                </c:pt>
                <c:pt idx="180">
                  <c:v>19.97610550133399</c:v>
                </c:pt>
                <c:pt idx="181">
                  <c:v>19.976701692717509</c:v>
                </c:pt>
                <c:pt idx="182">
                  <c:v>19.977282920222727</c:v>
                </c:pt>
                <c:pt idx="183">
                  <c:v>19.977849566321012</c:v>
                </c:pt>
                <c:pt idx="184">
                  <c:v>19.97840200317335</c:v>
                </c:pt>
                <c:pt idx="185">
                  <c:v>19.978940592948991</c:v>
                </c:pt>
                <c:pt idx="186">
                  <c:v>19.979465688131327</c:v>
                </c:pt>
                <c:pt idx="187">
                  <c:v>19.979977631811671</c:v>
                </c:pt>
                <c:pt idx="188">
                  <c:v>19.980476757971591</c:v>
                </c:pt>
                <c:pt idx="189">
                  <c:v>19.980963391754418</c:v>
                </c:pt>
                <c:pt idx="190">
                  <c:v>19.981437849726497</c:v>
                </c:pt>
                <c:pt idx="191">
                  <c:v>19.981900440128683</c:v>
                </c:pt>
                <c:pt idx="192">
                  <c:v>19.982351463118619</c:v>
                </c:pt>
                <c:pt idx="193">
                  <c:v>19.982791211004223</c:v>
                </c:pt>
                <c:pt idx="194">
                  <c:v>19.983219968468845</c:v>
                </c:pt>
                <c:pt idx="195">
                  <c:v>19.983638012788479</c:v>
                </c:pt>
                <c:pt idx="196">
                  <c:v>19.984045614041417</c:v>
                </c:pt>
                <c:pt idx="197">
                  <c:v>19.984443035310708</c:v>
                </c:pt>
                <c:pt idx="198">
                  <c:v>19.984830532879752</c:v>
                </c:pt>
                <c:pt idx="199">
                  <c:v>19.985208356421332</c:v>
                </c:pt>
                <c:pt idx="200">
                  <c:v>19.985576749180407</c:v>
                </c:pt>
                <c:pt idx="201">
                  <c:v>19.985935948150903</c:v>
                </c:pt>
                <c:pt idx="202">
                  <c:v>19.986286184246808</c:v>
                </c:pt>
                <c:pt idx="203">
                  <c:v>19.98662768246777</c:v>
                </c:pt>
                <c:pt idx="204">
                  <c:v>19.98696066205947</c:v>
                </c:pt>
                <c:pt idx="205">
                  <c:v>19.987285336668972</c:v>
                </c:pt>
                <c:pt idx="206">
                  <c:v>19.987601914495237</c:v>
                </c:pt>
                <c:pt idx="207">
                  <c:v>19.98791059843504</c:v>
                </c:pt>
                <c:pt idx="208">
                  <c:v>19.988211586224416</c:v>
                </c:pt>
                <c:pt idx="209">
                  <c:v>19.988505070575876</c:v>
                </c:pt>
                <c:pt idx="210">
                  <c:v>19.988791239311485</c:v>
                </c:pt>
                <c:pt idx="211">
                  <c:v>19.989070275492018</c:v>
                </c:pt>
                <c:pt idx="212">
                  <c:v>19.98934235754232</c:v>
                </c:pt>
                <c:pt idx="213">
                  <c:v>19.989607659372989</c:v>
                </c:pt>
                <c:pt idx="214">
                  <c:v>19.989866350498552</c:v>
                </c:pt>
                <c:pt idx="215">
                  <c:v>19.990118596152236</c:v>
                </c:pt>
                <c:pt idx="216">
                  <c:v>19.990364557397459</c:v>
                </c:pt>
                <c:pt idx="217">
                  <c:v>19.990604391236168</c:v>
                </c:pt>
                <c:pt idx="218">
                  <c:v>19.990838250714113</c:v>
                </c:pt>
                <c:pt idx="219">
                  <c:v>19.991066285023177</c:v>
                </c:pt>
                <c:pt idx="220">
                  <c:v>19.99128863960085</c:v>
                </c:pt>
                <c:pt idx="221">
                  <c:v>19.991505456226953</c:v>
                </c:pt>
                <c:pt idx="222">
                  <c:v>19.991716873117696</c:v>
                </c:pt>
                <c:pt idx="223">
                  <c:v>19.991923025017151</c:v>
                </c:pt>
                <c:pt idx="224">
                  <c:v>19.992124043286235</c:v>
                </c:pt>
                <c:pt idx="225">
                  <c:v>19.992320055989282</c:v>
                </c:pt>
                <c:pt idx="226">
                  <c:v>19.992511187978256</c:v>
                </c:pt>
                <c:pt idx="227">
                  <c:v>19.992697560974712</c:v>
                </c:pt>
                <c:pt idx="228">
                  <c:v>19.992879293649562</c:v>
                </c:pt>
                <c:pt idx="229">
                  <c:v>19.993056501700693</c:v>
                </c:pt>
                <c:pt idx="230">
                  <c:v>19.993229297928529</c:v>
                </c:pt>
                <c:pt idx="231">
                  <c:v>19.993397792309597</c:v>
                </c:pt>
                <c:pt idx="232">
                  <c:v>19.993562092068135</c:v>
                </c:pt>
                <c:pt idx="233">
                  <c:v>19.993722301745812</c:v>
                </c:pt>
                <c:pt idx="234">
                  <c:v>19.993878523269625</c:v>
                </c:pt>
                <c:pt idx="235">
                  <c:v>19.994030856018018</c:v>
                </c:pt>
                <c:pt idx="236">
                  <c:v>19.994179396885258</c:v>
                </c:pt>
                <c:pt idx="237">
                  <c:v>19.994324240344152</c:v>
                </c:pt>
                <c:pt idx="238">
                  <c:v>19.99446547850712</c:v>
                </c:pt>
                <c:pt idx="239">
                  <c:v>19.99460320118569</c:v>
                </c:pt>
                <c:pt idx="240">
                  <c:v>19.994737495948446</c:v>
                </c:pt>
                <c:pt idx="241">
                  <c:v>19.994868448177492</c:v>
                </c:pt>
                <c:pt idx="242">
                  <c:v>19.994996141123444</c:v>
                </c:pt>
                <c:pt idx="243">
                  <c:v>19.995120655959028</c:v>
                </c:pt>
                <c:pt idx="244">
                  <c:v>19.995242071831271</c:v>
                </c:pt>
                <c:pt idx="245">
                  <c:v>19.995360465912391</c:v>
                </c:pt>
                <c:pt idx="246">
                  <c:v>19.995475913449347</c:v>
                </c:pt>
                <c:pt idx="247">
                  <c:v>19.995588487812157</c:v>
                </c:pt>
                <c:pt idx="248">
                  <c:v>19.995698260540948</c:v>
                </c:pt>
                <c:pt idx="249">
                  <c:v>19.995805301391837</c:v>
                </c:pt>
                <c:pt idx="250">
                  <c:v>19.995909678381626</c:v>
                </c:pt>
                <c:pt idx="251">
                  <c:v>19.996011457831372</c:v>
                </c:pt>
                <c:pt idx="252">
                  <c:v>19.996110704408835</c:v>
                </c:pt>
                <c:pt idx="253">
                  <c:v>19.996207481169868</c:v>
                </c:pt>
                <c:pt idx="254">
                  <c:v>19.996301849598741</c:v>
                </c:pt>
                <c:pt idx="255">
                  <c:v>19.996393869647452</c:v>
                </c:pt>
                <c:pt idx="256">
                  <c:v>19.996483599774052</c:v>
                </c:pt>
                <c:pt idx="257">
                  <c:v>19.996571096979984</c:v>
                </c:pt>
                <c:pt idx="258">
                  <c:v>19.996656416846488</c:v>
                </c:pt>
                <c:pt idx="259">
                  <c:v>19.996739613570096</c:v>
                </c:pt>
                <c:pt idx="260">
                  <c:v>19.996820739997215</c:v>
                </c:pt>
                <c:pt idx="261">
                  <c:v>19.996899847657847</c:v>
                </c:pt>
                <c:pt idx="262">
                  <c:v>19.996976986798469</c:v>
                </c:pt>
                <c:pt idx="263">
                  <c:v>19.997052206414072</c:v>
                </c:pt>
                <c:pt idx="264">
                  <c:v>19.997125554279393</c:v>
                </c:pt>
                <c:pt idx="265">
                  <c:v>19.997197076979383</c:v>
                </c:pt>
                <c:pt idx="266">
                  <c:v>19.997266819938879</c:v>
                </c:pt>
                <c:pt idx="267">
                  <c:v>19.997334827451564</c:v>
                </c:pt>
                <c:pt idx="268">
                  <c:v>19.997401142708167</c:v>
                </c:pt>
                <c:pt idx="269">
                  <c:v>19.997465807823989</c:v>
                </c:pt>
                <c:pt idx="270">
                  <c:v>19.99752886386571</c:v>
                </c:pt>
                <c:pt idx="271">
                  <c:v>19.997590350877545</c:v>
                </c:pt>
                <c:pt idx="272">
                  <c:v>19.997650307906724</c:v>
                </c:pt>
                <c:pt idx="273">
                  <c:v>19.997708773028361</c:v>
                </c:pt>
                <c:pt idx="274">
                  <c:v>19.99776578336968</c:v>
                </c:pt>
                <c:pt idx="275">
                  <c:v>19.99782137513364</c:v>
                </c:pt>
                <c:pt idx="276">
                  <c:v>19.997875583621973</c:v>
                </c:pt>
                <c:pt idx="277">
                  <c:v>19.997928443257631</c:v>
                </c:pt>
                <c:pt idx="278">
                  <c:v>19.997979987606701</c:v>
                </c:pt>
                <c:pt idx="279">
                  <c:v>19.99803024939974</c:v>
                </c:pt>
                <c:pt idx="280">
                  <c:v>19.998079260552597</c:v>
                </c:pt>
                <c:pt idx="281">
                  <c:v>19.99812705218671</c:v>
                </c:pt>
                <c:pt idx="282">
                  <c:v>19.998173654648898</c:v>
                </c:pt>
                <c:pt idx="283">
                  <c:v>19.998219097530644</c:v>
                </c:pt>
                <c:pt idx="284">
                  <c:v>19.998263409686924</c:v>
                </c:pt>
                <c:pt idx="285">
                  <c:v>19.998306619254539</c:v>
                </c:pt>
                <c:pt idx="286">
                  <c:v>19.998348753670008</c:v>
                </c:pt>
                <c:pt idx="287">
                  <c:v>19.998389839687</c:v>
                </c:pt>
                <c:pt idx="288">
                  <c:v>19.998429903393347</c:v>
                </c:pt>
                <c:pt idx="289">
                  <c:v>19.998468970227616</c:v>
                </c:pt>
                <c:pt idx="290">
                  <c:v>19.998507064995287</c:v>
                </c:pt>
                <c:pt idx="291">
                  <c:v>19.9985442118845</c:v>
                </c:pt>
                <c:pt idx="292">
                  <c:v>19.99858043448144</c:v>
                </c:pt>
                <c:pt idx="293">
                  <c:v>19.99861575578532</c:v>
                </c:pt>
                <c:pt idx="294">
                  <c:v>19.99865019822299</c:v>
                </c:pt>
                <c:pt idx="295">
                  <c:v>19.998683783663186</c:v>
                </c:pt>
                <c:pt idx="296">
                  <c:v>19.998716533430436</c:v>
                </c:pt>
                <c:pt idx="297">
                  <c:v>19.998748468318592</c:v>
                </c:pt>
                <c:pt idx="298">
                  <c:v>19.998779608604053</c:v>
                </c:pt>
                <c:pt idx="299">
                  <c:v>19.998809974058634</c:v>
                </c:pt>
                <c:pt idx="300">
                  <c:v>19.998839583962138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C-4DF6-BEFD-F71FFB6BC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13743"/>
        <c:axId val="823990223"/>
      </c:scatterChart>
      <c:valAx>
        <c:axId val="82401374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[s]</a:t>
                </a:r>
                <a:endParaRPr 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3990223"/>
        <c:crosses val="autoZero"/>
        <c:crossBetween val="midCat"/>
      </c:valAx>
      <c:valAx>
        <c:axId val="8239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Bank</a:t>
                </a:r>
                <a:r>
                  <a:rPr lang="en-US" sz="16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Angle</a:t>
                </a: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r>
                  <a:rPr lang="en-US" sz="1600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phi</a:t>
                </a:r>
                <a:r>
                  <a:rPr 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[deg]</a:t>
                </a:r>
              </a:p>
            </c:rich>
          </c:tx>
          <c:layout>
            <c:manualLayout>
              <c:xMode val="edge"/>
              <c:yMode val="edge"/>
              <c:x val="2.4180634883555031E-2"/>
              <c:y val="0.234119632909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2401374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52176511381282031"/>
          <c:y val="0.54685365477958658"/>
          <c:w val="0.14761263461002883"/>
          <c:h val="0.11619004767261235"/>
        </c:manualLayout>
      </c:layout>
      <c:overlay val="0"/>
      <c:spPr>
        <a:solidFill>
          <a:schemeClr val="bg1"/>
        </a:solidFill>
        <a:ln w="19050">
          <a:solidFill>
            <a:schemeClr val="dk1"/>
          </a:soli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19050</xdr:colOff>
      <xdr:row>4</xdr:row>
      <xdr:rowOff>157163</xdr:rowOff>
    </xdr:from>
    <xdr:to>
      <xdr:col>38</xdr:col>
      <xdr:colOff>609599</xdr:colOff>
      <xdr:row>23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6ED12-DFA9-CEFD-FFF2-EEA17CAAB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38</xdr:col>
      <xdr:colOff>590549</xdr:colOff>
      <xdr:row>49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3F96D7-A781-4CAF-BD84-7B40D5C22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74083</xdr:colOff>
      <xdr:row>50</xdr:row>
      <xdr:rowOff>158750</xdr:rowOff>
    </xdr:from>
    <xdr:to>
      <xdr:col>39</xdr:col>
      <xdr:colOff>50799</xdr:colOff>
      <xdr:row>75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F9451-D727-4538-B766-DBAD9CC2D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77</xdr:row>
      <xdr:rowOff>0</xdr:rowOff>
    </xdr:from>
    <xdr:to>
      <xdr:col>38</xdr:col>
      <xdr:colOff>590549</xdr:colOff>
      <xdr:row>101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62F94B-A70E-4011-911E-95F7BE8FA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1008-16F5-4132-9473-BE3A1CA0BE49}">
  <dimension ref="B2:AM306"/>
  <sheetViews>
    <sheetView tabSelected="1" zoomScale="95" zoomScaleNormal="95" workbookViewId="0">
      <selection activeCell="C23" sqref="C23"/>
    </sheetView>
  </sheetViews>
  <sheetFormatPr defaultRowHeight="15" x14ac:dyDescent="0.25"/>
  <cols>
    <col min="2" max="2" width="17.5703125" customWidth="1"/>
    <col min="3" max="3" width="11.140625" customWidth="1"/>
    <col min="4" max="4" width="15.28515625" customWidth="1"/>
    <col min="6" max="8" width="9.140625" customWidth="1"/>
    <col min="9" max="9" width="20.140625" customWidth="1"/>
    <col min="10" max="10" width="18.85546875" customWidth="1"/>
    <col min="11" max="11" width="19.85546875" customWidth="1"/>
    <col min="14" max="14" width="18.85546875" customWidth="1"/>
    <col min="22" max="22" width="18.85546875" customWidth="1"/>
    <col min="27" max="27" width="11" customWidth="1"/>
  </cols>
  <sheetData>
    <row r="2" spans="2:39" x14ac:dyDescent="0.25">
      <c r="H2" s="16" t="s">
        <v>14</v>
      </c>
      <c r="I2" s="16"/>
      <c r="J2" s="16"/>
      <c r="K2" s="16"/>
      <c r="M2" s="16" t="s">
        <v>30</v>
      </c>
      <c r="N2" s="21"/>
      <c r="O2" s="21"/>
      <c r="P2" s="21"/>
      <c r="Q2" s="21"/>
      <c r="R2" s="21"/>
      <c r="S2" s="21"/>
      <c r="U2" s="16" t="s">
        <v>31</v>
      </c>
      <c r="V2" s="21"/>
      <c r="W2" s="21"/>
      <c r="X2" s="21"/>
      <c r="Y2" s="21"/>
      <c r="Z2" s="21"/>
      <c r="AA2" s="21"/>
    </row>
    <row r="3" spans="2:39" x14ac:dyDescent="0.25">
      <c r="B3" s="16" t="s">
        <v>9</v>
      </c>
      <c r="C3" s="16"/>
      <c r="D3" s="16"/>
      <c r="E3" s="16"/>
      <c r="H3" s="16"/>
      <c r="I3" s="16"/>
      <c r="J3" s="16"/>
      <c r="K3" s="16"/>
      <c r="M3" s="21"/>
      <c r="N3" s="21"/>
      <c r="O3" s="21"/>
      <c r="P3" s="21"/>
      <c r="Q3" s="21"/>
      <c r="R3" s="21"/>
      <c r="S3" s="21"/>
      <c r="U3" s="21"/>
      <c r="V3" s="21"/>
      <c r="W3" s="21"/>
      <c r="X3" s="21"/>
      <c r="Y3" s="21"/>
      <c r="Z3" s="21"/>
      <c r="AA3" s="21"/>
      <c r="AC3" s="16" t="s">
        <v>28</v>
      </c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2:39" ht="15.75" thickBot="1" x14ac:dyDescent="0.3">
      <c r="B4" s="23"/>
      <c r="C4" s="23"/>
      <c r="D4" s="23"/>
      <c r="E4" s="23"/>
      <c r="H4" s="17" t="s">
        <v>15</v>
      </c>
      <c r="I4" s="18" t="s">
        <v>16</v>
      </c>
      <c r="J4" s="18" t="s">
        <v>17</v>
      </c>
      <c r="K4" s="18" t="s">
        <v>18</v>
      </c>
      <c r="M4" s="17" t="s">
        <v>15</v>
      </c>
      <c r="N4" s="18" t="s">
        <v>25</v>
      </c>
      <c r="O4" s="20" t="s">
        <v>24</v>
      </c>
      <c r="P4" s="20" t="s">
        <v>26</v>
      </c>
      <c r="Q4" s="20" t="s">
        <v>27</v>
      </c>
      <c r="R4" s="19" t="s">
        <v>29</v>
      </c>
      <c r="S4" s="20" t="s">
        <v>12</v>
      </c>
      <c r="U4" s="17" t="s">
        <v>15</v>
      </c>
      <c r="V4" s="18" t="s">
        <v>32</v>
      </c>
      <c r="W4" s="20" t="s">
        <v>24</v>
      </c>
      <c r="X4" s="20" t="s">
        <v>26</v>
      </c>
      <c r="Y4" s="20" t="s">
        <v>27</v>
      </c>
      <c r="Z4" s="19" t="s">
        <v>33</v>
      </c>
      <c r="AA4" s="19" t="s">
        <v>35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2:39" ht="15.75" thickTop="1" x14ac:dyDescent="0.25">
      <c r="B5" s="4" t="s">
        <v>0</v>
      </c>
      <c r="C5" s="10">
        <v>300</v>
      </c>
      <c r="D5" t="s">
        <v>5</v>
      </c>
      <c r="E5" s="5">
        <v>350</v>
      </c>
      <c r="H5" s="17"/>
      <c r="I5" s="18"/>
      <c r="J5" s="18"/>
      <c r="K5" s="18"/>
      <c r="M5" s="17"/>
      <c r="N5" s="18"/>
      <c r="O5" s="20"/>
      <c r="P5" s="20"/>
      <c r="Q5" s="20"/>
      <c r="R5" s="19"/>
      <c r="S5" s="20"/>
      <c r="U5" s="17"/>
      <c r="V5" s="18"/>
      <c r="W5" s="20"/>
      <c r="X5" s="20"/>
      <c r="Y5" s="20"/>
      <c r="Z5" s="19"/>
      <c r="AA5" s="19"/>
    </row>
    <row r="6" spans="2:39" x14ac:dyDescent="0.25">
      <c r="B6" s="4" t="s">
        <v>1</v>
      </c>
      <c r="C6" s="11">
        <v>30</v>
      </c>
      <c r="D6" t="s">
        <v>7</v>
      </c>
      <c r="E6" s="5">
        <v>2.37689218E-3</v>
      </c>
      <c r="H6" s="15">
        <f>0</f>
        <v>0</v>
      </c>
      <c r="I6" s="9">
        <f>DEGREES(-2*$E$5/$C$6*$C$9/$C$8*$C$18*(1-EXP(-$C$20*H6)))</f>
        <v>0</v>
      </c>
      <c r="J6">
        <f>0</f>
        <v>0</v>
      </c>
      <c r="K6">
        <f>0</f>
        <v>0</v>
      </c>
      <c r="M6" s="15">
        <f>0</f>
        <v>0</v>
      </c>
      <c r="N6">
        <f>0</f>
        <v>0</v>
      </c>
      <c r="O6">
        <f>AA6-N6</f>
        <v>120</v>
      </c>
      <c r="P6">
        <v>0</v>
      </c>
      <c r="Q6">
        <f>0</f>
        <v>0</v>
      </c>
      <c r="R6">
        <f>DEGREES($E$6*$C$5*$C$6^2*$E$5/(4*$C$7)*$C$8*RADIANS(N6)+$E$6*$C$5*$C$6*$E$5^2/(2*$C$7)*$C$9*RADIANS(S6))</f>
        <v>396.63153939347876</v>
      </c>
      <c r="S6">
        <f>MAX(MIN($C$34*O6+$C$35*P6+$C$36*Q6,21.5),-21.5)</f>
        <v>-21.5</v>
      </c>
      <c r="U6" s="15">
        <f>0</f>
        <v>0</v>
      </c>
      <c r="V6">
        <f>0</f>
        <v>0</v>
      </c>
      <c r="W6">
        <f>$E$9-V6</f>
        <v>20</v>
      </c>
      <c r="X6">
        <v>0</v>
      </c>
      <c r="Y6">
        <f>0</f>
        <v>0</v>
      </c>
      <c r="Z6">
        <f>N6</f>
        <v>0</v>
      </c>
      <c r="AA6">
        <f>$C$39*W6+$C$40*X6+$C$41*Y6</f>
        <v>120</v>
      </c>
    </row>
    <row r="7" spans="2:39" x14ac:dyDescent="0.25">
      <c r="B7" s="4" t="s">
        <v>2</v>
      </c>
      <c r="C7" s="11">
        <v>9496</v>
      </c>
      <c r="D7" t="s">
        <v>8</v>
      </c>
      <c r="E7" s="5">
        <v>50</v>
      </c>
      <c r="H7" s="15">
        <f>H6+$E$8</f>
        <v>0.01</v>
      </c>
      <c r="I7" s="9">
        <f t="shared" ref="I7:I70" si="0">DEGREES(-2*$E$5/$C$6*$C$9/$C$8*$C$18*(1-EXP(-$C$20*H7)))</f>
        <v>1.1011944423338693</v>
      </c>
      <c r="J7">
        <f>J6+$E$8*DEGREES($E$6*$C$5*$C$6^2*$E$5/(4*$C$7)*$C$8*RADIANS(J6) +$E$6*$C$5*$C$6*$E$5^2/(2*$C$7)*$C$9*$C$18)</f>
        <v>1.1135017734620629</v>
      </c>
      <c r="K7">
        <f>K6+$E$8*DEGREES($E$6*$C$5*$C$6^2*$E$5/(4*$C$7)*$C$8*RADIANS(K6)+$E$6*$C$5*$C$6*$E$5^2/(2*$C$7)*$C$9*RADIANS(-21.5))</f>
        <v>3.9663153939347877</v>
      </c>
      <c r="M7" s="15">
        <f>M6+$E$8</f>
        <v>0.01</v>
      </c>
      <c r="N7">
        <f>N6+$E$8*R6</f>
        <v>3.9663153939347877</v>
      </c>
      <c r="O7">
        <f t="shared" ref="O7:O70" si="1">AA7-N7</f>
        <v>116.03368460606521</v>
      </c>
      <c r="P7">
        <f>IF(ABS(S6)&gt;21, P6, P6+(O7+O6)*$E$8/2)</f>
        <v>0</v>
      </c>
      <c r="Q7">
        <f>(O7-O6)/$E$8</f>
        <v>-396.63153939347922</v>
      </c>
      <c r="R7">
        <f t="shared" ref="R7:R70" si="2">DEGREES($E$6*$C$5*$C$6^2*$E$5/(4*$C$7)*$C$8*RADIANS(N7)+$E$6*$C$5*$C$6*$E$5^2/(2*$C$7)*$C$9*RADIANS(S7))</f>
        <v>387.79854094296621</v>
      </c>
      <c r="S7">
        <f t="shared" ref="S7:S70" si="3">MAX(MIN($C$34*O7+$C$35*P7+$C$36*Q7,21.5),-21.5)</f>
        <v>-21.5</v>
      </c>
      <c r="U7" s="15">
        <f>U6+$E$8</f>
        <v>0.01</v>
      </c>
      <c r="V7">
        <f>V6+$E$8*Z6</f>
        <v>0</v>
      </c>
      <c r="W7">
        <f t="shared" ref="W7:W70" si="4">$E$9-V7</f>
        <v>20</v>
      </c>
      <c r="X7">
        <f>X6+(W7+W6)*$E$8/2</f>
        <v>0.2</v>
      </c>
      <c r="Y7">
        <f>(W7-W6)/$E$8</f>
        <v>0</v>
      </c>
      <c r="Z7">
        <f t="shared" ref="Z7:Z70" si="5">N7</f>
        <v>3.9663153939347877</v>
      </c>
      <c r="AA7">
        <f t="shared" ref="AA7:AA70" si="6">$C$39*W7+$C$40*X7+$C$41*Y7</f>
        <v>120</v>
      </c>
    </row>
    <row r="8" spans="2:39" x14ac:dyDescent="0.25">
      <c r="B8" s="4" t="s">
        <v>3</v>
      </c>
      <c r="C8" s="11">
        <v>-0.37659999999999999</v>
      </c>
      <c r="D8" t="s">
        <v>6</v>
      </c>
      <c r="E8" s="5">
        <v>0.01</v>
      </c>
      <c r="H8" s="15">
        <f t="shared" ref="H8:H71" si="7">H7+$E$8</f>
        <v>0.02</v>
      </c>
      <c r="I8" s="9">
        <f t="shared" si="0"/>
        <v>2.1781363006711958</v>
      </c>
      <c r="J8">
        <f>J7+$E$8*DEGREES($E$6*$C$5*$C$6^2*$E$5/(4*$C$7)*$C$8*RADIANS(J7) +$E$6*$C$5*$C$6*$E$5^2/(2*$C$7)*$C$9*$C$18)</f>
        <v>2.2022058229340624</v>
      </c>
      <c r="K8">
        <f t="shared" ref="K8:K20" si="8">K7+$E$8*DEGREES($E$6*$C$5*$C$6^2*$E$5/(4*$C$7)*$C$8*RADIANS(K7)+$E$6*$C$5*$C$6*$E$5^2/(2*$C$7)*$C$9*RADIANS(-21.5))</f>
        <v>7.8443008033644501</v>
      </c>
      <c r="M8" s="15">
        <f t="shared" ref="M8:M71" si="9">M7+$E$8</f>
        <v>0.02</v>
      </c>
      <c r="N8">
        <f>N7+$E$8*R7</f>
        <v>7.8443008033644501</v>
      </c>
      <c r="O8">
        <f t="shared" si="1"/>
        <v>111.91772027299946</v>
      </c>
      <c r="P8">
        <f t="shared" ref="P8:P71" si="10">IF(ABS(S7)&gt;21, P7, P7+(O8+O7)*$E$8/2)</f>
        <v>0</v>
      </c>
      <c r="Q8">
        <f t="shared" ref="Q8:Q71" si="11">(O8-O7)/$E$8</f>
        <v>-411.59643330657474</v>
      </c>
      <c r="R8">
        <f t="shared" si="2"/>
        <v>379.1622536812464</v>
      </c>
      <c r="S8">
        <f t="shared" si="3"/>
        <v>-21.5</v>
      </c>
      <c r="U8" s="15">
        <f t="shared" ref="U8:U71" si="12">U7+$E$8</f>
        <v>0.02</v>
      </c>
      <c r="V8">
        <f>V7+$E$8*Z7</f>
        <v>3.9663153939347877E-2</v>
      </c>
      <c r="W8">
        <f t="shared" si="4"/>
        <v>19.960336846060653</v>
      </c>
      <c r="X8">
        <f t="shared" ref="X8:X71" si="13">X7+(W8+W7)*$E$8/2</f>
        <v>0.39980168423030327</v>
      </c>
      <c r="Y8">
        <f t="shared" ref="Y8:Y71" si="14">(W8-W7)/$E$8</f>
        <v>-3.9663153939347495</v>
      </c>
      <c r="Z8">
        <f t="shared" si="5"/>
        <v>7.8443008033644501</v>
      </c>
      <c r="AA8">
        <f t="shared" si="6"/>
        <v>119.76202107636391</v>
      </c>
    </row>
    <row r="9" spans="2:39" x14ac:dyDescent="0.25">
      <c r="B9" s="4" t="s">
        <v>4</v>
      </c>
      <c r="C9" s="11">
        <v>-0.13370000000000001</v>
      </c>
      <c r="D9" t="s">
        <v>34</v>
      </c>
      <c r="E9" s="5">
        <v>20</v>
      </c>
      <c r="H9" s="15">
        <f t="shared" si="7"/>
        <v>0.03</v>
      </c>
      <c r="I9" s="9">
        <f t="shared" si="0"/>
        <v>3.2313597112261667</v>
      </c>
      <c r="J9">
        <f t="shared" ref="J9:J72" si="15">J8+$E$8*DEGREES($E$6*$C$5*$C$6^2*$E$5/(4*$C$7)*$C$8*RADIANS(J8) +$E$6*$C$5*$C$6*$E$5^2/(2*$C$7)*$C$9*$C$18)</f>
        <v>3.2666643946088141</v>
      </c>
      <c r="K9">
        <f t="shared" si="8"/>
        <v>11.635923340176914</v>
      </c>
      <c r="M9" s="15">
        <f t="shared" si="9"/>
        <v>0.03</v>
      </c>
      <c r="N9">
        <f t="shared" ref="N9:N72" si="16">N8+$E$8*R8</f>
        <v>11.635923340176914</v>
      </c>
      <c r="O9">
        <f t="shared" si="1"/>
        <v>107.65543968798512</v>
      </c>
      <c r="P9">
        <f t="shared" si="10"/>
        <v>0</v>
      </c>
      <c r="Q9">
        <f t="shared" si="11"/>
        <v>-426.22805850143379</v>
      </c>
      <c r="R9">
        <f t="shared" si="2"/>
        <v>370.71829684316754</v>
      </c>
      <c r="S9">
        <f t="shared" si="3"/>
        <v>-21.5</v>
      </c>
      <c r="U9" s="15">
        <f t="shared" si="12"/>
        <v>0.03</v>
      </c>
      <c r="V9">
        <f t="shared" ref="V9:V72" si="17">V8+$E$8*Z8</f>
        <v>0.11810616197299237</v>
      </c>
      <c r="W9">
        <f t="shared" si="4"/>
        <v>19.881893838027008</v>
      </c>
      <c r="X9">
        <f t="shared" si="13"/>
        <v>0.59901283765074154</v>
      </c>
      <c r="Y9">
        <f t="shared" si="14"/>
        <v>-7.8443008033644901</v>
      </c>
      <c r="Z9">
        <f t="shared" si="5"/>
        <v>11.635923340176914</v>
      </c>
      <c r="AA9">
        <f t="shared" si="6"/>
        <v>119.29136302816204</v>
      </c>
    </row>
    <row r="10" spans="2:39" x14ac:dyDescent="0.25">
      <c r="B10" s="4"/>
      <c r="C10" s="11"/>
      <c r="E10" s="5"/>
      <c r="H10" s="15">
        <f t="shared" si="7"/>
        <v>0.04</v>
      </c>
      <c r="I10" s="9">
        <f t="shared" si="0"/>
        <v>4.2613870464563597</v>
      </c>
      <c r="J10">
        <f t="shared" si="15"/>
        <v>4.3074174361368307</v>
      </c>
      <c r="K10">
        <f t="shared" si="8"/>
        <v>15.34310630860859</v>
      </c>
      <c r="M10" s="15">
        <f t="shared" si="9"/>
        <v>0.04</v>
      </c>
      <c r="N10">
        <f t="shared" si="16"/>
        <v>15.34310630860859</v>
      </c>
      <c r="O10">
        <f t="shared" si="1"/>
        <v>103.25010131914283</v>
      </c>
      <c r="P10">
        <f t="shared" si="10"/>
        <v>0</v>
      </c>
      <c r="Q10">
        <f t="shared" si="11"/>
        <v>-440.5338368842294</v>
      </c>
      <c r="R10">
        <f t="shared" si="2"/>
        <v>362.46238722337353</v>
      </c>
      <c r="S10">
        <f t="shared" si="3"/>
        <v>-21.5</v>
      </c>
      <c r="U10" s="15">
        <f t="shared" si="12"/>
        <v>0.04</v>
      </c>
      <c r="V10">
        <f t="shared" si="17"/>
        <v>0.23446539537476152</v>
      </c>
      <c r="W10">
        <f t="shared" si="4"/>
        <v>19.765534604625238</v>
      </c>
      <c r="X10">
        <f t="shared" si="13"/>
        <v>0.7972499798640027</v>
      </c>
      <c r="Y10">
        <f t="shared" si="14"/>
        <v>-11.635923340177001</v>
      </c>
      <c r="Z10">
        <f t="shared" si="5"/>
        <v>15.34310630860859</v>
      </c>
      <c r="AA10">
        <f t="shared" si="6"/>
        <v>118.59320762775143</v>
      </c>
    </row>
    <row r="11" spans="2:39" x14ac:dyDescent="0.25">
      <c r="B11" s="4"/>
      <c r="C11" s="11"/>
      <c r="E11" s="5"/>
      <c r="H11" s="15">
        <f t="shared" si="7"/>
        <v>0.05</v>
      </c>
      <c r="I11" s="9">
        <f t="shared" si="0"/>
        <v>5.2687291741464017</v>
      </c>
      <c r="J11">
        <f t="shared" si="15"/>
        <v>5.324992870515298</v>
      </c>
      <c r="K11">
        <f t="shared" si="8"/>
        <v>18.967730180842324</v>
      </c>
      <c r="M11" s="15">
        <f t="shared" si="9"/>
        <v>0.05</v>
      </c>
      <c r="N11">
        <f t="shared" si="16"/>
        <v>18.967730180842324</v>
      </c>
      <c r="O11">
        <f t="shared" si="1"/>
        <v>98.704891068392584</v>
      </c>
      <c r="P11">
        <f t="shared" si="10"/>
        <v>0</v>
      </c>
      <c r="Q11">
        <f t="shared" si="11"/>
        <v>-454.52102507502445</v>
      </c>
      <c r="R11">
        <f t="shared" si="2"/>
        <v>354.39033700364308</v>
      </c>
      <c r="S11">
        <f t="shared" si="3"/>
        <v>-21.5</v>
      </c>
      <c r="U11" s="15">
        <f t="shared" si="12"/>
        <v>0.05</v>
      </c>
      <c r="V11">
        <f t="shared" si="17"/>
        <v>0.38789645846084742</v>
      </c>
      <c r="W11">
        <f t="shared" si="4"/>
        <v>19.612103541539152</v>
      </c>
      <c r="X11">
        <f t="shared" si="13"/>
        <v>0.99413817059482468</v>
      </c>
      <c r="Y11">
        <f t="shared" si="14"/>
        <v>-15.343106308608512</v>
      </c>
      <c r="Z11">
        <f t="shared" si="5"/>
        <v>18.967730180842324</v>
      </c>
      <c r="AA11">
        <f t="shared" si="6"/>
        <v>117.67262124923491</v>
      </c>
    </row>
    <row r="12" spans="2:39" x14ac:dyDescent="0.25">
      <c r="B12" s="4"/>
      <c r="C12" s="11"/>
      <c r="E12" s="5"/>
      <c r="H12" s="15">
        <f t="shared" si="7"/>
        <v>6.0000000000000005E-2</v>
      </c>
      <c r="I12" s="9">
        <f t="shared" si="0"/>
        <v>6.2538857107856218</v>
      </c>
      <c r="J12">
        <f t="shared" si="15"/>
        <v>6.3199068638775282</v>
      </c>
      <c r="K12">
        <f t="shared" si="8"/>
        <v>22.511633550878756</v>
      </c>
      <c r="M12" s="15">
        <f t="shared" si="9"/>
        <v>6.0000000000000005E-2</v>
      </c>
      <c r="N12">
        <f t="shared" si="16"/>
        <v>22.511633550878756</v>
      </c>
      <c r="O12">
        <f t="shared" si="1"/>
        <v>94.022923887505627</v>
      </c>
      <c r="P12">
        <f t="shared" si="10"/>
        <v>0</v>
      </c>
      <c r="Q12">
        <f t="shared" si="11"/>
        <v>-468.19671808869572</v>
      </c>
      <c r="R12">
        <f t="shared" si="2"/>
        <v>346.4980516286156</v>
      </c>
      <c r="S12">
        <f t="shared" si="3"/>
        <v>-21.5</v>
      </c>
      <c r="U12" s="15">
        <f t="shared" si="12"/>
        <v>6.0000000000000005E-2</v>
      </c>
      <c r="V12">
        <f t="shared" si="17"/>
        <v>0.57757376026927065</v>
      </c>
      <c r="W12">
        <f t="shared" si="4"/>
        <v>19.422426239730729</v>
      </c>
      <c r="X12">
        <f t="shared" si="13"/>
        <v>1.1893108195011741</v>
      </c>
      <c r="Y12">
        <f t="shared" si="14"/>
        <v>-18.967730180842324</v>
      </c>
      <c r="Z12">
        <f t="shared" si="5"/>
        <v>22.511633550878756</v>
      </c>
      <c r="AA12">
        <f t="shared" si="6"/>
        <v>116.53455743838438</v>
      </c>
    </row>
    <row r="13" spans="2:39" x14ac:dyDescent="0.25">
      <c r="B13" s="4"/>
      <c r="C13" s="11"/>
      <c r="E13" s="5"/>
      <c r="H13" s="15">
        <f t="shared" si="7"/>
        <v>7.0000000000000007E-2</v>
      </c>
      <c r="I13" s="9">
        <f t="shared" si="0"/>
        <v>7.2173452693653273</v>
      </c>
      <c r="J13">
        <f t="shared" si="15"/>
        <v>7.2926640873187374</v>
      </c>
      <c r="K13">
        <f t="shared" si="8"/>
        <v>25.976614067164913</v>
      </c>
      <c r="M13" s="15">
        <f t="shared" si="9"/>
        <v>7.0000000000000007E-2</v>
      </c>
      <c r="N13">
        <f t="shared" si="16"/>
        <v>25.976614067164913</v>
      </c>
      <c r="O13">
        <f t="shared" si="1"/>
        <v>89.207245358166745</v>
      </c>
      <c r="P13">
        <f t="shared" si="10"/>
        <v>0</v>
      </c>
      <c r="Q13">
        <f t="shared" si="11"/>
        <v>-481.56785293388822</v>
      </c>
      <c r="R13">
        <f t="shared" si="2"/>
        <v>338.78152772882333</v>
      </c>
      <c r="S13">
        <f t="shared" si="3"/>
        <v>-21.5</v>
      </c>
      <c r="U13" s="15">
        <f t="shared" si="12"/>
        <v>7.0000000000000007E-2</v>
      </c>
      <c r="V13">
        <f t="shared" si="17"/>
        <v>0.80269009577805828</v>
      </c>
      <c r="W13">
        <f t="shared" si="4"/>
        <v>19.197309904221942</v>
      </c>
      <c r="X13">
        <f t="shared" si="13"/>
        <v>1.3824095002209376</v>
      </c>
      <c r="Y13">
        <f t="shared" si="14"/>
        <v>-22.511633550878685</v>
      </c>
      <c r="Z13">
        <f t="shared" si="5"/>
        <v>25.976614067164913</v>
      </c>
      <c r="AA13">
        <f t="shared" si="6"/>
        <v>115.18385942533166</v>
      </c>
    </row>
    <row r="14" spans="2:39" ht="15.75" thickBot="1" x14ac:dyDescent="0.3">
      <c r="B14" s="6"/>
      <c r="C14" s="12"/>
      <c r="D14" s="7"/>
      <c r="E14" s="8"/>
      <c r="H14" s="15">
        <f t="shared" si="7"/>
        <v>0.08</v>
      </c>
      <c r="I14" s="9">
        <f t="shared" si="0"/>
        <v>8.159585701718596</v>
      </c>
      <c r="J14">
        <f t="shared" si="15"/>
        <v>8.2437579728909505</v>
      </c>
      <c r="K14">
        <f t="shared" si="8"/>
        <v>29.364429344453146</v>
      </c>
      <c r="M14" s="15">
        <f t="shared" si="9"/>
        <v>0.08</v>
      </c>
      <c r="N14">
        <f t="shared" si="16"/>
        <v>29.364429344453146</v>
      </c>
      <c r="O14">
        <f t="shared" si="1"/>
        <v>84.260833236848597</v>
      </c>
      <c r="P14">
        <f t="shared" si="10"/>
        <v>0</v>
      </c>
      <c r="Q14">
        <f t="shared" si="11"/>
        <v>-494.64121213181471</v>
      </c>
      <c r="R14">
        <f t="shared" si="2"/>
        <v>331.2368510899787</v>
      </c>
      <c r="S14">
        <f t="shared" si="3"/>
        <v>-21.5</v>
      </c>
      <c r="U14" s="15">
        <f t="shared" si="12"/>
        <v>0.08</v>
      </c>
      <c r="V14">
        <f t="shared" si="17"/>
        <v>1.0624562364497074</v>
      </c>
      <c r="W14">
        <f t="shared" si="4"/>
        <v>18.937543763550291</v>
      </c>
      <c r="X14">
        <f t="shared" si="13"/>
        <v>1.5730837685597987</v>
      </c>
      <c r="Y14">
        <f t="shared" si="14"/>
        <v>-25.976614067165116</v>
      </c>
      <c r="Z14">
        <f t="shared" si="5"/>
        <v>29.364429344453146</v>
      </c>
      <c r="AA14">
        <f t="shared" si="6"/>
        <v>113.62526258130174</v>
      </c>
    </row>
    <row r="15" spans="2:39" x14ac:dyDescent="0.25">
      <c r="H15" s="15">
        <f t="shared" si="7"/>
        <v>0.09</v>
      </c>
      <c r="I15" s="9">
        <f t="shared" si="0"/>
        <v>9.0810743355228745</v>
      </c>
      <c r="J15">
        <f t="shared" si="15"/>
        <v>9.1736709638968907</v>
      </c>
      <c r="K15">
        <f t="shared" si="8"/>
        <v>32.67679785535293</v>
      </c>
      <c r="M15" s="15">
        <f t="shared" si="9"/>
        <v>0.09</v>
      </c>
      <c r="N15">
        <f t="shared" si="16"/>
        <v>32.67679785535293</v>
      </c>
      <c r="O15">
        <f t="shared" si="1"/>
        <v>79.186598965281632</v>
      </c>
      <c r="P15">
        <f t="shared" si="10"/>
        <v>0</v>
      </c>
      <c r="Q15">
        <f t="shared" si="11"/>
        <v>-507.4234271566965</v>
      </c>
      <c r="R15">
        <f t="shared" si="2"/>
        <v>323.86019466748513</v>
      </c>
      <c r="S15">
        <f t="shared" si="3"/>
        <v>-21.5</v>
      </c>
      <c r="U15" s="15">
        <f t="shared" si="12"/>
        <v>0.09</v>
      </c>
      <c r="V15">
        <f t="shared" si="17"/>
        <v>1.3561005298942388</v>
      </c>
      <c r="W15">
        <f t="shared" si="4"/>
        <v>18.643899470105762</v>
      </c>
      <c r="X15">
        <f t="shared" si="13"/>
        <v>1.7609909847280789</v>
      </c>
      <c r="Y15">
        <f t="shared" si="14"/>
        <v>-29.364429344452958</v>
      </c>
      <c r="Z15">
        <f t="shared" si="5"/>
        <v>32.67679785535293</v>
      </c>
      <c r="AA15">
        <f t="shared" si="6"/>
        <v>111.86339682063456</v>
      </c>
    </row>
    <row r="16" spans="2:39" x14ac:dyDescent="0.25">
      <c r="B16" s="16" t="s">
        <v>10</v>
      </c>
      <c r="C16" s="16"/>
      <c r="D16" s="16"/>
      <c r="E16" s="16"/>
      <c r="H16" s="15">
        <f t="shared" si="7"/>
        <v>9.9999999999999992E-2</v>
      </c>
      <c r="I16" s="9">
        <f t="shared" si="0"/>
        <v>9.982268206082777</v>
      </c>
      <c r="J16">
        <f t="shared" si="15"/>
        <v>10.082874759609821</v>
      </c>
      <c r="K16">
        <f t="shared" si="8"/>
        <v>35.915399802027778</v>
      </c>
      <c r="M16" s="15">
        <f t="shared" si="9"/>
        <v>9.9999999999999992E-2</v>
      </c>
      <c r="N16">
        <f t="shared" si="16"/>
        <v>35.915399802027778</v>
      </c>
      <c r="O16">
        <f t="shared" si="1"/>
        <v>73.987389147285612</v>
      </c>
      <c r="P16">
        <f t="shared" si="10"/>
        <v>0</v>
      </c>
      <c r="Q16">
        <f t="shared" si="11"/>
        <v>-519.92098179960203</v>
      </c>
      <c r="R16">
        <f t="shared" si="2"/>
        <v>316.64781664516482</v>
      </c>
      <c r="S16">
        <f t="shared" si="3"/>
        <v>-21.5</v>
      </c>
      <c r="U16" s="15">
        <f t="shared" si="12"/>
        <v>9.9999999999999992E-2</v>
      </c>
      <c r="V16">
        <f t="shared" si="17"/>
        <v>1.6828685084477681</v>
      </c>
      <c r="W16">
        <f t="shared" si="4"/>
        <v>18.317131491552232</v>
      </c>
      <c r="X16">
        <f t="shared" si="13"/>
        <v>1.945796139536369</v>
      </c>
      <c r="Y16">
        <f t="shared" si="14"/>
        <v>-32.676797855353001</v>
      </c>
      <c r="Z16">
        <f t="shared" si="5"/>
        <v>35.915399802027778</v>
      </c>
      <c r="AA16">
        <f t="shared" si="6"/>
        <v>109.90278894931339</v>
      </c>
    </row>
    <row r="17" spans="2:27" ht="15.75" thickBot="1" x14ac:dyDescent="0.3">
      <c r="B17" s="16"/>
      <c r="C17" s="16"/>
      <c r="D17" s="16"/>
      <c r="E17" s="16"/>
      <c r="H17" s="15">
        <f t="shared" si="7"/>
        <v>0.10999999999999999</v>
      </c>
      <c r="I17" s="9">
        <f t="shared" si="0"/>
        <v>10.863614283008154</v>
      </c>
      <c r="J17">
        <f t="shared" si="15"/>
        <v>10.971830554543455</v>
      </c>
      <c r="K17">
        <f t="shared" si="8"/>
        <v>39.081877968479425</v>
      </c>
      <c r="M17" s="15">
        <f t="shared" si="9"/>
        <v>0.10999999999999999</v>
      </c>
      <c r="N17">
        <f t="shared" si="16"/>
        <v>39.081877968479425</v>
      </c>
      <c r="O17">
        <f t="shared" si="1"/>
        <v>68.665986992712277</v>
      </c>
      <c r="P17">
        <f t="shared" si="10"/>
        <v>0</v>
      </c>
      <c r="Q17">
        <f t="shared" si="11"/>
        <v>-532.1402154573334</v>
      </c>
      <c r="R17">
        <f t="shared" si="2"/>
        <v>309.59605853721922</v>
      </c>
      <c r="S17">
        <f t="shared" si="3"/>
        <v>-21.5</v>
      </c>
      <c r="U17" s="15">
        <f t="shared" si="12"/>
        <v>0.10999999999999999</v>
      </c>
      <c r="V17">
        <f t="shared" si="17"/>
        <v>2.042022506468046</v>
      </c>
      <c r="W17">
        <f t="shared" si="4"/>
        <v>17.957977493531953</v>
      </c>
      <c r="X17">
        <f t="shared" si="13"/>
        <v>2.1271716844617901</v>
      </c>
      <c r="Y17">
        <f t="shared" si="14"/>
        <v>-35.915399802027892</v>
      </c>
      <c r="Z17">
        <f t="shared" si="5"/>
        <v>39.081877968479425</v>
      </c>
      <c r="AA17">
        <f t="shared" si="6"/>
        <v>107.74786496119171</v>
      </c>
    </row>
    <row r="18" spans="2:27" x14ac:dyDescent="0.25">
      <c r="B18" s="1" t="s">
        <v>11</v>
      </c>
      <c r="C18" s="13">
        <f>-C6/(2*E5)*C8/C9*RADIANS(E7)</f>
        <v>-0.1053463505130459</v>
      </c>
      <c r="D18" s="2"/>
      <c r="E18" s="3"/>
      <c r="H18" s="15">
        <f t="shared" si="7"/>
        <v>0.11999999999999998</v>
      </c>
      <c r="I18" s="9">
        <f t="shared" si="0"/>
        <v>11.725549691899872</v>
      </c>
      <c r="J18">
        <f t="shared" si="15"/>
        <v>11.84098927239333</v>
      </c>
      <c r="K18">
        <f t="shared" si="8"/>
        <v>42.177838553851615</v>
      </c>
      <c r="M18" s="15">
        <f t="shared" si="9"/>
        <v>0.11999999999999998</v>
      </c>
      <c r="N18">
        <f t="shared" si="16"/>
        <v>42.177838553851615</v>
      </c>
      <c r="O18">
        <f t="shared" si="1"/>
        <v>63.225113729231339</v>
      </c>
      <c r="P18">
        <f t="shared" si="10"/>
        <v>0</v>
      </c>
      <c r="Q18">
        <f t="shared" si="11"/>
        <v>-544.08732634809382</v>
      </c>
      <c r="R18">
        <f t="shared" si="2"/>
        <v>302.70134333245807</v>
      </c>
      <c r="S18">
        <f t="shared" si="3"/>
        <v>-21.5</v>
      </c>
      <c r="U18" s="15">
        <f t="shared" si="12"/>
        <v>0.11999999999999998</v>
      </c>
      <c r="V18">
        <f t="shared" si="17"/>
        <v>2.4328412861528403</v>
      </c>
      <c r="W18">
        <f t="shared" si="4"/>
        <v>17.56715871384716</v>
      </c>
      <c r="X18">
        <f t="shared" si="13"/>
        <v>2.3047973654986857</v>
      </c>
      <c r="Y18">
        <f t="shared" si="14"/>
        <v>-39.081877968479262</v>
      </c>
      <c r="Z18">
        <f t="shared" si="5"/>
        <v>42.177838553851615</v>
      </c>
      <c r="AA18">
        <f t="shared" si="6"/>
        <v>105.40295228308295</v>
      </c>
    </row>
    <row r="19" spans="2:27" x14ac:dyDescent="0.25">
      <c r="B19" s="4" t="s">
        <v>12</v>
      </c>
      <c r="C19" s="14">
        <f>DEGREES(C18)</f>
        <v>-6.0359012715033646</v>
      </c>
      <c r="E19" s="5"/>
      <c r="H19" s="15">
        <f t="shared" si="7"/>
        <v>0.12999999999999998</v>
      </c>
      <c r="I19" s="9">
        <f t="shared" si="0"/>
        <v>12.568501931153147</v>
      </c>
      <c r="J19">
        <f t="shared" si="15"/>
        <v>12.690791794768288</v>
      </c>
      <c r="K19">
        <f t="shared" si="8"/>
        <v>45.204851987176198</v>
      </c>
      <c r="M19" s="15">
        <f t="shared" si="9"/>
        <v>0.12999999999999998</v>
      </c>
      <c r="N19">
        <f t="shared" si="16"/>
        <v>45.204851987176198</v>
      </c>
      <c r="O19">
        <f t="shared" si="1"/>
        <v>57.667429982675657</v>
      </c>
      <c r="P19">
        <f t="shared" si="10"/>
        <v>0</v>
      </c>
      <c r="Q19">
        <f t="shared" si="11"/>
        <v>-555.76837465556821</v>
      </c>
      <c r="R19">
        <f t="shared" si="2"/>
        <v>295.96017367985723</v>
      </c>
      <c r="S19">
        <f t="shared" si="3"/>
        <v>-21.5</v>
      </c>
      <c r="U19" s="15">
        <f t="shared" si="12"/>
        <v>0.12999999999999998</v>
      </c>
      <c r="V19">
        <f t="shared" si="17"/>
        <v>2.8546196716913563</v>
      </c>
      <c r="W19">
        <f t="shared" si="4"/>
        <v>17.145380328308644</v>
      </c>
      <c r="X19">
        <f t="shared" si="13"/>
        <v>2.4783600607094649</v>
      </c>
      <c r="Y19">
        <f t="shared" si="14"/>
        <v>-42.177838553851643</v>
      </c>
      <c r="Z19">
        <f t="shared" si="5"/>
        <v>45.204851987176198</v>
      </c>
      <c r="AA19">
        <f t="shared" si="6"/>
        <v>102.87228196985185</v>
      </c>
    </row>
    <row r="20" spans="2:27" ht="15.75" thickBot="1" x14ac:dyDescent="0.3">
      <c r="B20" s="4" t="s">
        <v>13</v>
      </c>
      <c r="C20" s="11">
        <f>-E6*C5*C6^2*E5/(4*C7)*C8</f>
        <v>2.2270035469241258</v>
      </c>
      <c r="E20" s="5"/>
      <c r="H20" s="15">
        <f t="shared" si="7"/>
        <v>0.13999999999999999</v>
      </c>
      <c r="I20" s="9">
        <f t="shared" si="0"/>
        <v>13.392889083986047</v>
      </c>
      <c r="J20">
        <f t="shared" si="15"/>
        <v>13.521669184828104</v>
      </c>
      <c r="K20" s="7">
        <f t="shared" si="8"/>
        <v>48.164453723974773</v>
      </c>
      <c r="M20" s="15">
        <f t="shared" si="9"/>
        <v>0.13999999999999999</v>
      </c>
      <c r="N20">
        <f t="shared" si="16"/>
        <v>48.164453723974773</v>
      </c>
      <c r="O20">
        <f t="shared" si="1"/>
        <v>51.995537126646511</v>
      </c>
      <c r="P20">
        <f t="shared" si="10"/>
        <v>0</v>
      </c>
      <c r="Q20">
        <f t="shared" si="11"/>
        <v>-567.18928560291454</v>
      </c>
      <c r="R20">
        <f t="shared" si="2"/>
        <v>289.36913011452401</v>
      </c>
      <c r="S20">
        <f t="shared" si="3"/>
        <v>-21.5</v>
      </c>
      <c r="U20" s="15">
        <f t="shared" si="12"/>
        <v>0.13999999999999999</v>
      </c>
      <c r="V20">
        <f t="shared" si="17"/>
        <v>3.3066681915631184</v>
      </c>
      <c r="W20">
        <f t="shared" si="4"/>
        <v>16.693331808436881</v>
      </c>
      <c r="X20">
        <f t="shared" si="13"/>
        <v>2.6475536213931927</v>
      </c>
      <c r="Y20">
        <f t="shared" si="14"/>
        <v>-45.204851987176298</v>
      </c>
      <c r="Z20">
        <f t="shared" si="5"/>
        <v>48.164453723974773</v>
      </c>
      <c r="AA20">
        <f t="shared" si="6"/>
        <v>100.15999085062128</v>
      </c>
    </row>
    <row r="21" spans="2:27" x14ac:dyDescent="0.25">
      <c r="B21" s="4"/>
      <c r="C21" s="11"/>
      <c r="E21" s="5"/>
      <c r="H21" s="15">
        <f t="shared" si="7"/>
        <v>0.15</v>
      </c>
      <c r="I21" s="9">
        <f t="shared" si="0"/>
        <v>14.199120025798328</v>
      </c>
      <c r="J21">
        <f t="shared" si="15"/>
        <v>14.334042905940699</v>
      </c>
      <c r="K21">
        <f t="shared" ref="K21:K84" si="18">K20+$E$8*DEGREES($E$6*$C$5*$C$6^2*$E$5/(4*$C$7)*$C$8*RADIANS(K20) +$E$6*$C$5*$C$6*$E$5^2/(2*$C$7)*$C$9*$C$18)</f>
        <v>48.205331404647289</v>
      </c>
      <c r="M21" s="15">
        <f t="shared" si="9"/>
        <v>0.15</v>
      </c>
      <c r="N21">
        <f t="shared" si="16"/>
        <v>51.058145025120012</v>
      </c>
      <c r="O21">
        <f t="shared" si="1"/>
        <v>46.2119786020628</v>
      </c>
      <c r="P21">
        <f t="shared" si="10"/>
        <v>0</v>
      </c>
      <c r="Q21">
        <f t="shared" si="11"/>
        <v>-578.35585245837103</v>
      </c>
      <c r="R21">
        <f t="shared" si="2"/>
        <v>282.92486932317007</v>
      </c>
      <c r="S21">
        <f t="shared" si="3"/>
        <v>-21.5</v>
      </c>
      <c r="U21" s="15">
        <f t="shared" si="12"/>
        <v>0.15</v>
      </c>
      <c r="V21">
        <f t="shared" si="17"/>
        <v>3.7883127288028664</v>
      </c>
      <c r="W21">
        <f t="shared" si="4"/>
        <v>16.211687271197135</v>
      </c>
      <c r="X21">
        <f t="shared" si="13"/>
        <v>2.8120787167913628</v>
      </c>
      <c r="Y21">
        <f t="shared" si="14"/>
        <v>-48.164453723974532</v>
      </c>
      <c r="Z21">
        <f t="shared" si="5"/>
        <v>51.058145025120012</v>
      </c>
      <c r="AA21">
        <f t="shared" si="6"/>
        <v>97.270123627182812</v>
      </c>
    </row>
    <row r="22" spans="2:27" x14ac:dyDescent="0.25">
      <c r="B22" s="4"/>
      <c r="C22" s="11"/>
      <c r="E22" s="5"/>
      <c r="H22" s="15">
        <f t="shared" si="7"/>
        <v>0.16</v>
      </c>
      <c r="I22" s="9">
        <f t="shared" si="0"/>
        <v>14.987594626963384</v>
      </c>
      <c r="J22">
        <f t="shared" si="15"/>
        <v>15.128325035469835</v>
      </c>
      <c r="K22">
        <f t="shared" si="18"/>
        <v>48.245298737921324</v>
      </c>
      <c r="M22" s="15">
        <f t="shared" si="9"/>
        <v>0.16</v>
      </c>
      <c r="N22">
        <f t="shared" si="16"/>
        <v>53.88739371835171</v>
      </c>
      <c r="O22">
        <f t="shared" si="1"/>
        <v>40.319241207323891</v>
      </c>
      <c r="P22">
        <f t="shared" si="10"/>
        <v>0</v>
      </c>
      <c r="Q22">
        <f t="shared" si="11"/>
        <v>-589.27373947389083</v>
      </c>
      <c r="R22">
        <f t="shared" si="2"/>
        <v>276.62412244821263</v>
      </c>
      <c r="S22">
        <f t="shared" si="3"/>
        <v>-21.5</v>
      </c>
      <c r="U22" s="15">
        <f t="shared" si="12"/>
        <v>0.16</v>
      </c>
      <c r="V22">
        <f t="shared" si="17"/>
        <v>4.2988941790540665</v>
      </c>
      <c r="W22">
        <f t="shared" si="4"/>
        <v>15.701105820945934</v>
      </c>
      <c r="X22">
        <f t="shared" si="13"/>
        <v>2.9716426822520781</v>
      </c>
      <c r="Y22">
        <f t="shared" si="14"/>
        <v>-51.058145025120183</v>
      </c>
      <c r="Z22">
        <f t="shared" si="5"/>
        <v>53.88739371835171</v>
      </c>
      <c r="AA22">
        <f t="shared" si="6"/>
        <v>94.206634925675601</v>
      </c>
    </row>
    <row r="23" spans="2:27" x14ac:dyDescent="0.25">
      <c r="B23" s="4"/>
      <c r="C23" s="11"/>
      <c r="E23" s="5"/>
      <c r="H23" s="15">
        <f t="shared" si="7"/>
        <v>0.17</v>
      </c>
      <c r="I23" s="9">
        <f t="shared" si="0"/>
        <v>15.758703951153949</v>
      </c>
      <c r="J23">
        <f t="shared" si="15"/>
        <v>15.904918473801775</v>
      </c>
      <c r="K23">
        <f t="shared" si="18"/>
        <v>48.284375997265741</v>
      </c>
      <c r="M23" s="15">
        <f t="shared" si="9"/>
        <v>0.17</v>
      </c>
      <c r="N23">
        <f t="shared" si="16"/>
        <v>56.653634942833833</v>
      </c>
      <c r="O23">
        <f t="shared" si="1"/>
        <v>34.319756359740666</v>
      </c>
      <c r="P23">
        <f t="shared" si="10"/>
        <v>0</v>
      </c>
      <c r="Q23">
        <f t="shared" si="11"/>
        <v>-599.94848475832259</v>
      </c>
      <c r="R23">
        <f t="shared" si="2"/>
        <v>270.46369342964323</v>
      </c>
      <c r="S23">
        <f t="shared" si="3"/>
        <v>-21.5</v>
      </c>
      <c r="U23" s="15">
        <f t="shared" si="12"/>
        <v>0.17</v>
      </c>
      <c r="V23">
        <f t="shared" si="17"/>
        <v>4.8377681162375836</v>
      </c>
      <c r="W23">
        <f t="shared" si="4"/>
        <v>15.162231883762416</v>
      </c>
      <c r="X23">
        <f t="shared" si="13"/>
        <v>3.1259593707756199</v>
      </c>
      <c r="Y23">
        <f t="shared" si="14"/>
        <v>-53.887393718351717</v>
      </c>
      <c r="Z23">
        <f t="shared" si="5"/>
        <v>56.653634942833833</v>
      </c>
      <c r="AA23">
        <f t="shared" si="6"/>
        <v>90.973391302574498</v>
      </c>
    </row>
    <row r="24" spans="2:27" x14ac:dyDescent="0.25">
      <c r="B24" s="4"/>
      <c r="C24" s="11"/>
      <c r="E24" s="5"/>
      <c r="H24" s="15">
        <f t="shared" si="7"/>
        <v>0.18000000000000002</v>
      </c>
      <c r="I24" s="9">
        <f t="shared" si="0"/>
        <v>16.512830449299912</v>
      </c>
      <c r="J24">
        <f t="shared" si="15"/>
        <v>16.664217148716883</v>
      </c>
      <c r="K24">
        <f t="shared" si="18"/>
        <v>48.322583004658512</v>
      </c>
      <c r="M24" s="15">
        <f t="shared" si="9"/>
        <v>0.18000000000000002</v>
      </c>
      <c r="N24">
        <f t="shared" si="16"/>
        <v>59.358271877130264</v>
      </c>
      <c r="O24">
        <f t="shared" si="1"/>
        <v>28.21590132887421</v>
      </c>
      <c r="P24">
        <f t="shared" si="10"/>
        <v>0</v>
      </c>
      <c r="Q24">
        <f t="shared" si="11"/>
        <v>-610.38550308664549</v>
      </c>
      <c r="R24">
        <f t="shared" si="2"/>
        <v>264.440457383823</v>
      </c>
      <c r="S24">
        <f t="shared" si="3"/>
        <v>-21.5</v>
      </c>
      <c r="U24" s="15">
        <f t="shared" si="12"/>
        <v>0.18000000000000002</v>
      </c>
      <c r="V24">
        <f t="shared" si="17"/>
        <v>5.4043044656659216</v>
      </c>
      <c r="W24">
        <f t="shared" si="4"/>
        <v>14.595695534334078</v>
      </c>
      <c r="X24">
        <f t="shared" si="13"/>
        <v>3.2747490078661023</v>
      </c>
      <c r="Y24">
        <f t="shared" si="14"/>
        <v>-56.653634942833797</v>
      </c>
      <c r="Z24">
        <f t="shared" si="5"/>
        <v>59.358271877130264</v>
      </c>
      <c r="AA24">
        <f t="shared" si="6"/>
        <v>87.574173206004474</v>
      </c>
    </row>
    <row r="25" spans="2:27" x14ac:dyDescent="0.25">
      <c r="B25" s="4"/>
      <c r="C25" s="11"/>
      <c r="E25" s="5"/>
      <c r="H25" s="15">
        <f t="shared" si="7"/>
        <v>0.19000000000000003</v>
      </c>
      <c r="I25" s="9">
        <f t="shared" si="0"/>
        <v>17.250348149274366</v>
      </c>
      <c r="J25">
        <f t="shared" si="15"/>
        <v>17.406606215209884</v>
      </c>
      <c r="K25">
        <f t="shared" si="18"/>
        <v>48.359939140641472</v>
      </c>
      <c r="M25" s="15">
        <f t="shared" si="9"/>
        <v>0.19000000000000003</v>
      </c>
      <c r="N25">
        <f t="shared" si="16"/>
        <v>62.002676450968494</v>
      </c>
      <c r="O25">
        <f t="shared" si="1"/>
        <v>22.010000442408156</v>
      </c>
      <c r="P25">
        <f t="shared" si="10"/>
        <v>0</v>
      </c>
      <c r="Q25">
        <f t="shared" si="11"/>
        <v>-620.59008864660541</v>
      </c>
      <c r="R25">
        <f t="shared" si="2"/>
        <v>258.55135901838293</v>
      </c>
      <c r="S25">
        <f t="shared" si="3"/>
        <v>-21.5</v>
      </c>
      <c r="U25" s="15">
        <f t="shared" si="12"/>
        <v>0.19000000000000003</v>
      </c>
      <c r="V25">
        <f t="shared" si="17"/>
        <v>5.9978871844372241</v>
      </c>
      <c r="W25">
        <f t="shared" si="4"/>
        <v>14.002112815562775</v>
      </c>
      <c r="X25">
        <f t="shared" si="13"/>
        <v>3.4177380496155867</v>
      </c>
      <c r="Y25">
        <f t="shared" si="14"/>
        <v>-59.358271877130342</v>
      </c>
      <c r="Z25">
        <f t="shared" si="5"/>
        <v>62.002676450968494</v>
      </c>
      <c r="AA25">
        <f t="shared" si="6"/>
        <v>84.01267689337665</v>
      </c>
    </row>
    <row r="26" spans="2:27" x14ac:dyDescent="0.25">
      <c r="B26" s="4"/>
      <c r="C26" s="11"/>
      <c r="E26" s="5"/>
      <c r="H26" s="15">
        <f t="shared" si="7"/>
        <v>0.20000000000000004</v>
      </c>
      <c r="I26" s="9">
        <f t="shared" si="0"/>
        <v>17.97162284140213</v>
      </c>
      <c r="J26">
        <f t="shared" si="15"/>
        <v>18.132462250860108</v>
      </c>
      <c r="K26">
        <f t="shared" si="18"/>
        <v>48.396463354151102</v>
      </c>
      <c r="M26" s="15">
        <f t="shared" si="9"/>
        <v>0.20000000000000004</v>
      </c>
      <c r="N26">
        <f t="shared" si="16"/>
        <v>64.588190041152316</v>
      </c>
      <c r="O26">
        <f t="shared" si="1"/>
        <v>15.704326265166216</v>
      </c>
      <c r="P26">
        <f t="shared" si="10"/>
        <v>0</v>
      </c>
      <c r="Q26">
        <f t="shared" si="11"/>
        <v>-630.567417724194</v>
      </c>
      <c r="R26">
        <f t="shared" si="2"/>
        <v>252.79341108242306</v>
      </c>
      <c r="S26">
        <f t="shared" si="3"/>
        <v>-21.5</v>
      </c>
      <c r="U26" s="15">
        <f t="shared" si="12"/>
        <v>0.20000000000000004</v>
      </c>
      <c r="V26">
        <f t="shared" si="17"/>
        <v>6.6179139489469092</v>
      </c>
      <c r="W26">
        <f t="shared" si="4"/>
        <v>13.38208605105309</v>
      </c>
      <c r="X26">
        <f t="shared" si="13"/>
        <v>3.5546590439486661</v>
      </c>
      <c r="Y26">
        <f t="shared" si="14"/>
        <v>-62.002676450968508</v>
      </c>
      <c r="Z26">
        <f t="shared" si="5"/>
        <v>64.588190041152316</v>
      </c>
      <c r="AA26">
        <f t="shared" si="6"/>
        <v>80.292516306318532</v>
      </c>
    </row>
    <row r="27" spans="2:27" x14ac:dyDescent="0.25">
      <c r="B27" s="4"/>
      <c r="C27" s="11"/>
      <c r="E27" s="5"/>
      <c r="H27" s="15">
        <f t="shared" si="7"/>
        <v>0.21000000000000005</v>
      </c>
      <c r="I27" s="9">
        <f t="shared" si="0"/>
        <v>18.677012259882552</v>
      </c>
      <c r="J27">
        <f t="shared" si="15"/>
        <v>18.842153446850837</v>
      </c>
      <c r="K27">
        <f t="shared" si="18"/>
        <v>48.432174172130388</v>
      </c>
      <c r="M27" s="15">
        <f t="shared" si="9"/>
        <v>0.21000000000000005</v>
      </c>
      <c r="N27">
        <f t="shared" si="16"/>
        <v>67.11612415197655</v>
      </c>
      <c r="O27">
        <f t="shared" si="1"/>
        <v>9.3011007518728519</v>
      </c>
      <c r="P27">
        <f t="shared" si="10"/>
        <v>0</v>
      </c>
      <c r="Q27">
        <f t="shared" si="11"/>
        <v>-640.32255132933642</v>
      </c>
      <c r="R27">
        <f t="shared" si="2"/>
        <v>75.578601184129553</v>
      </c>
      <c r="S27">
        <f t="shared" si="3"/>
        <v>-12.19897599045234</v>
      </c>
      <c r="U27" s="15">
        <f t="shared" si="12"/>
        <v>0.21000000000000005</v>
      </c>
      <c r="V27">
        <f t="shared" si="17"/>
        <v>7.2637958493584325</v>
      </c>
      <c r="W27">
        <f t="shared" si="4"/>
        <v>12.736204150641568</v>
      </c>
      <c r="X27">
        <f t="shared" si="13"/>
        <v>3.6852504949571392</v>
      </c>
      <c r="Y27">
        <f t="shared" si="14"/>
        <v>-64.588190041152231</v>
      </c>
      <c r="Z27">
        <f t="shared" si="5"/>
        <v>67.11612415197655</v>
      </c>
      <c r="AA27">
        <f t="shared" si="6"/>
        <v>76.417224903849402</v>
      </c>
    </row>
    <row r="28" spans="2:27" ht="15.75" thickBot="1" x14ac:dyDescent="0.3">
      <c r="B28" s="6"/>
      <c r="C28" s="12"/>
      <c r="D28" s="7"/>
      <c r="E28" s="8"/>
      <c r="H28" s="15">
        <f t="shared" si="7"/>
        <v>0.22000000000000006</v>
      </c>
      <c r="I28" s="9">
        <f t="shared" si="0"/>
        <v>19.366866260216742</v>
      </c>
      <c r="J28">
        <f t="shared" si="15"/>
        <v>19.536039794734645</v>
      </c>
      <c r="K28">
        <f t="shared" si="18"/>
        <v>48.467089708926636</v>
      </c>
      <c r="M28" s="15">
        <f t="shared" si="9"/>
        <v>0.22000000000000006</v>
      </c>
      <c r="N28">
        <f t="shared" si="16"/>
        <v>67.871910163817844</v>
      </c>
      <c r="O28">
        <f t="shared" si="1"/>
        <v>4.5183472909129705</v>
      </c>
      <c r="P28">
        <f t="shared" si="10"/>
        <v>6.9097240213929115E-2</v>
      </c>
      <c r="Q28">
        <f t="shared" si="11"/>
        <v>-478.27534609598814</v>
      </c>
      <c r="R28">
        <f t="shared" si="2"/>
        <v>-66.300847972371287</v>
      </c>
      <c r="S28">
        <f t="shared" si="3"/>
        <v>-4.5994273219357051</v>
      </c>
      <c r="U28" s="15">
        <f t="shared" si="12"/>
        <v>0.22000000000000006</v>
      </c>
      <c r="V28">
        <f t="shared" si="17"/>
        <v>7.9349570908781981</v>
      </c>
      <c r="W28">
        <f t="shared" si="4"/>
        <v>12.065042909121802</v>
      </c>
      <c r="X28">
        <f t="shared" si="13"/>
        <v>3.8092567302559561</v>
      </c>
      <c r="Y28">
        <f t="shared" si="14"/>
        <v>-67.116124151976564</v>
      </c>
      <c r="Z28">
        <f t="shared" si="5"/>
        <v>67.871910163817844</v>
      </c>
      <c r="AA28">
        <f t="shared" si="6"/>
        <v>72.390257454730815</v>
      </c>
    </row>
    <row r="29" spans="2:27" x14ac:dyDescent="0.25">
      <c r="H29" s="15">
        <f t="shared" si="7"/>
        <v>0.23000000000000007</v>
      </c>
      <c r="I29" s="9">
        <f t="shared" si="0"/>
        <v>20.041526992727128</v>
      </c>
      <c r="J29">
        <f t="shared" si="15"/>
        <v>20.214473269039459</v>
      </c>
      <c r="K29">
        <f t="shared" si="18"/>
        <v>48.501227675480003</v>
      </c>
      <c r="M29" s="15">
        <f t="shared" si="9"/>
        <v>0.23000000000000007</v>
      </c>
      <c r="N29">
        <f t="shared" si="16"/>
        <v>67.20890168409413</v>
      </c>
      <c r="O29">
        <f t="shared" si="1"/>
        <v>1.1090411608076209</v>
      </c>
      <c r="P29">
        <f t="shared" si="10"/>
        <v>9.7234182472532071E-2</v>
      </c>
      <c r="Q29">
        <f t="shared" si="11"/>
        <v>-340.93061301053496</v>
      </c>
      <c r="R29">
        <f t="shared" si="2"/>
        <v>-162.68126315836923</v>
      </c>
      <c r="S29">
        <f t="shared" si="3"/>
        <v>0.70505289612744715</v>
      </c>
      <c r="U29" s="15">
        <f t="shared" si="12"/>
        <v>0.23000000000000007</v>
      </c>
      <c r="V29">
        <f t="shared" si="17"/>
        <v>8.6136761925163761</v>
      </c>
      <c r="W29">
        <f t="shared" si="4"/>
        <v>11.386323807483624</v>
      </c>
      <c r="X29">
        <f t="shared" si="13"/>
        <v>3.9265135638389834</v>
      </c>
      <c r="Y29">
        <f t="shared" si="14"/>
        <v>-67.871910163817788</v>
      </c>
      <c r="Z29">
        <f t="shared" si="5"/>
        <v>67.20890168409413</v>
      </c>
      <c r="AA29">
        <f t="shared" si="6"/>
        <v>68.317942844901751</v>
      </c>
    </row>
    <row r="30" spans="2:27" x14ac:dyDescent="0.25">
      <c r="H30" s="15">
        <f t="shared" si="7"/>
        <v>0.24000000000000007</v>
      </c>
      <c r="I30" s="9">
        <f t="shared" si="0"/>
        <v>20.70132907225549</v>
      </c>
      <c r="J30">
        <f t="shared" si="15"/>
        <v>20.877798005807986</v>
      </c>
      <c r="K30">
        <f t="shared" si="18"/>
        <v>48.534605388307384</v>
      </c>
      <c r="M30" s="15">
        <f t="shared" si="9"/>
        <v>0.24000000000000007</v>
      </c>
      <c r="N30">
        <f t="shared" si="16"/>
        <v>65.58208905251044</v>
      </c>
      <c r="O30">
        <f t="shared" si="1"/>
        <v>-1.296680308654345</v>
      </c>
      <c r="P30">
        <f t="shared" si="10"/>
        <v>9.629598673329845E-2</v>
      </c>
      <c r="Q30">
        <f t="shared" si="11"/>
        <v>-240.5721469461966</v>
      </c>
      <c r="R30">
        <f t="shared" si="2"/>
        <v>-229.39217267198339</v>
      </c>
      <c r="S30">
        <f t="shared" si="3"/>
        <v>4.5176021531041641</v>
      </c>
      <c r="U30" s="15">
        <f t="shared" si="12"/>
        <v>0.24000000000000007</v>
      </c>
      <c r="V30">
        <f t="shared" si="17"/>
        <v>9.2857652093573169</v>
      </c>
      <c r="W30">
        <f t="shared" si="4"/>
        <v>10.714234790642683</v>
      </c>
      <c r="X30">
        <f t="shared" si="13"/>
        <v>4.0370163568296151</v>
      </c>
      <c r="Y30">
        <f t="shared" si="14"/>
        <v>-67.208901684094073</v>
      </c>
      <c r="Z30">
        <f t="shared" si="5"/>
        <v>65.58208905251044</v>
      </c>
      <c r="AA30">
        <f t="shared" si="6"/>
        <v>64.285408743856095</v>
      </c>
    </row>
    <row r="31" spans="2:27" x14ac:dyDescent="0.25">
      <c r="B31" s="22" t="s">
        <v>19</v>
      </c>
      <c r="C31" s="22"/>
      <c r="H31" s="15">
        <f t="shared" si="7"/>
        <v>0.25000000000000006</v>
      </c>
      <c r="I31" s="9">
        <f t="shared" si="0"/>
        <v>21.346599744123509</v>
      </c>
      <c r="J31">
        <f t="shared" si="15"/>
        <v>21.526350477161049</v>
      </c>
      <c r="K31">
        <f t="shared" si="18"/>
        <v>48.567239778286215</v>
      </c>
      <c r="M31" s="15">
        <f t="shared" si="9"/>
        <v>0.25000000000000006</v>
      </c>
      <c r="N31">
        <f t="shared" si="16"/>
        <v>63.28816732579061</v>
      </c>
      <c r="O31">
        <f t="shared" si="1"/>
        <v>-2.937683925085139</v>
      </c>
      <c r="P31">
        <f t="shared" si="10"/>
        <v>7.5124165564601025E-2</v>
      </c>
      <c r="Q31">
        <f t="shared" si="11"/>
        <v>-164.1003616430794</v>
      </c>
      <c r="R31">
        <f t="shared" si="2"/>
        <v>-272.67538791674752</v>
      </c>
      <c r="S31">
        <f t="shared" si="3"/>
        <v>7.1407506387780666</v>
      </c>
      <c r="U31" s="15">
        <f t="shared" si="12"/>
        <v>0.25000000000000006</v>
      </c>
      <c r="V31">
        <f t="shared" si="17"/>
        <v>9.9415860998824215</v>
      </c>
      <c r="W31">
        <f t="shared" si="4"/>
        <v>10.058413900117579</v>
      </c>
      <c r="X31">
        <f t="shared" si="13"/>
        <v>4.1408796002834167</v>
      </c>
      <c r="Y31">
        <f t="shared" si="14"/>
        <v>-65.582089052510455</v>
      </c>
      <c r="Z31">
        <f t="shared" si="5"/>
        <v>63.28816732579061</v>
      </c>
      <c r="AA31">
        <f t="shared" si="6"/>
        <v>60.350483400705471</v>
      </c>
    </row>
    <row r="32" spans="2:27" x14ac:dyDescent="0.25">
      <c r="B32" s="22"/>
      <c r="C32" s="22"/>
      <c r="H32" s="15">
        <f t="shared" si="7"/>
        <v>0.26000000000000006</v>
      </c>
      <c r="I32" s="9">
        <f t="shared" si="0"/>
        <v>21.977659046438294</v>
      </c>
      <c r="J32">
        <f t="shared" si="15"/>
        <v>22.160459661973416</v>
      </c>
      <c r="K32">
        <f t="shared" si="18"/>
        <v>48.599147399242696</v>
      </c>
      <c r="M32" s="15">
        <f t="shared" si="9"/>
        <v>0.26000000000000006</v>
      </c>
      <c r="N32">
        <f t="shared" si="16"/>
        <v>60.561413446623135</v>
      </c>
      <c r="O32">
        <f t="shared" si="1"/>
        <v>-4.0082200854650978</v>
      </c>
      <c r="P32">
        <f t="shared" si="10"/>
        <v>4.039464551184984E-2</v>
      </c>
      <c r="Q32">
        <f t="shared" si="11"/>
        <v>-107.05361603799588</v>
      </c>
      <c r="R32">
        <f t="shared" si="2"/>
        <v>-298.78082946197543</v>
      </c>
      <c r="S32">
        <f t="shared" si="3"/>
        <v>8.8850031037509041</v>
      </c>
      <c r="U32" s="15">
        <f t="shared" si="12"/>
        <v>0.26000000000000006</v>
      </c>
      <c r="V32">
        <f t="shared" si="17"/>
        <v>10.574467773140327</v>
      </c>
      <c r="W32">
        <f t="shared" si="4"/>
        <v>9.4255322268596728</v>
      </c>
      <c r="X32">
        <f t="shared" si="13"/>
        <v>4.238299330918303</v>
      </c>
      <c r="Y32">
        <f t="shared" si="14"/>
        <v>-63.288167325790567</v>
      </c>
      <c r="Z32">
        <f t="shared" si="5"/>
        <v>60.561413446623135</v>
      </c>
      <c r="AA32">
        <f t="shared" si="6"/>
        <v>56.553193361158037</v>
      </c>
    </row>
    <row r="33" spans="2:27" x14ac:dyDescent="0.25">
      <c r="B33" t="s">
        <v>20</v>
      </c>
      <c r="H33" s="15">
        <f t="shared" si="7"/>
        <v>0.27000000000000007</v>
      </c>
      <c r="I33" s="9">
        <f t="shared" si="0"/>
        <v>22.594819968823231</v>
      </c>
      <c r="J33">
        <f t="shared" si="15"/>
        <v>22.780447212748641</v>
      </c>
      <c r="K33">
        <f t="shared" si="18"/>
        <v>48.630344436348743</v>
      </c>
      <c r="M33" s="15">
        <f t="shared" si="9"/>
        <v>0.27000000000000007</v>
      </c>
      <c r="N33">
        <f t="shared" si="16"/>
        <v>57.573605152003381</v>
      </c>
      <c r="O33">
        <f t="shared" si="1"/>
        <v>-4.6540965976427344</v>
      </c>
      <c r="P33">
        <f t="shared" si="10"/>
        <v>-2.9169379036893192E-3</v>
      </c>
      <c r="Q33">
        <f t="shared" si="11"/>
        <v>-64.587651217763664</v>
      </c>
      <c r="R33">
        <f t="shared" si="2"/>
        <v>-312.11814563417937</v>
      </c>
      <c r="S33">
        <f t="shared" si="3"/>
        <v>9.9686543969815524</v>
      </c>
      <c r="U33" s="15">
        <f t="shared" si="12"/>
        <v>0.27000000000000007</v>
      </c>
      <c r="V33">
        <f t="shared" si="17"/>
        <v>11.180081907606558</v>
      </c>
      <c r="W33">
        <f t="shared" si="4"/>
        <v>8.8199180923934417</v>
      </c>
      <c r="X33">
        <f t="shared" si="13"/>
        <v>4.3295265825145686</v>
      </c>
      <c r="Y33">
        <f t="shared" si="14"/>
        <v>-60.561413446623114</v>
      </c>
      <c r="Z33">
        <f t="shared" si="5"/>
        <v>57.573605152003381</v>
      </c>
      <c r="AA33">
        <f t="shared" si="6"/>
        <v>52.919508554360647</v>
      </c>
    </row>
    <row r="34" spans="2:27" x14ac:dyDescent="0.25">
      <c r="B34" t="s">
        <v>21</v>
      </c>
      <c r="C34">
        <v>-2</v>
      </c>
      <c r="H34" s="15">
        <f t="shared" si="7"/>
        <v>0.28000000000000008</v>
      </c>
      <c r="I34" s="9">
        <f t="shared" si="0"/>
        <v>23.198388607653051</v>
      </c>
      <c r="J34">
        <f t="shared" si="15"/>
        <v>23.386627618777613</v>
      </c>
      <c r="K34">
        <f t="shared" si="18"/>
        <v>48.660846714331903</v>
      </c>
      <c r="M34" s="15">
        <f t="shared" si="9"/>
        <v>0.28000000000000008</v>
      </c>
      <c r="N34">
        <f t="shared" si="16"/>
        <v>54.452423695661587</v>
      </c>
      <c r="O34">
        <f t="shared" si="1"/>
        <v>-4.9873314504211379</v>
      </c>
      <c r="P34">
        <f t="shared" si="10"/>
        <v>-5.1124078144008683E-2</v>
      </c>
      <c r="Q34">
        <f t="shared" si="11"/>
        <v>-33.323485277840348</v>
      </c>
      <c r="R34">
        <f t="shared" si="2"/>
        <v>-316.14129712749576</v>
      </c>
      <c r="S34">
        <f t="shared" si="3"/>
        <v>10.563518144340723</v>
      </c>
      <c r="U34" s="15">
        <f t="shared" si="12"/>
        <v>0.28000000000000008</v>
      </c>
      <c r="V34">
        <f t="shared" si="17"/>
        <v>11.755817959126592</v>
      </c>
      <c r="W34">
        <f t="shared" si="4"/>
        <v>8.2441820408734081</v>
      </c>
      <c r="X34">
        <f t="shared" si="13"/>
        <v>4.414847083180903</v>
      </c>
      <c r="Y34">
        <f t="shared" si="14"/>
        <v>-57.57360515200336</v>
      </c>
      <c r="Z34">
        <f t="shared" si="5"/>
        <v>54.452423695661587</v>
      </c>
      <c r="AA34">
        <f t="shared" si="6"/>
        <v>49.465092245240449</v>
      </c>
    </row>
    <row r="35" spans="2:27" x14ac:dyDescent="0.25">
      <c r="B35" t="s">
        <v>22</v>
      </c>
      <c r="C35">
        <v>-5</v>
      </c>
      <c r="H35" s="15">
        <f t="shared" si="7"/>
        <v>0.29000000000000009</v>
      </c>
      <c r="I35" s="9">
        <f t="shared" si="0"/>
        <v>23.788664317869944</v>
      </c>
      <c r="J35">
        <f t="shared" si="15"/>
        <v>23.979308365663559</v>
      </c>
      <c r="K35">
        <f t="shared" si="18"/>
        <v>48.690669705502479</v>
      </c>
      <c r="M35" s="15">
        <f t="shared" si="9"/>
        <v>0.29000000000000009</v>
      </c>
      <c r="N35">
        <f t="shared" si="16"/>
        <v>51.291010724386631</v>
      </c>
      <c r="O35">
        <f t="shared" si="1"/>
        <v>-5.0930639008858734</v>
      </c>
      <c r="P35">
        <f t="shared" si="10"/>
        <v>-0.10152605490054374</v>
      </c>
      <c r="Q35">
        <f t="shared" si="11"/>
        <v>-10.573245046473545</v>
      </c>
      <c r="R35">
        <f t="shared" si="2"/>
        <v>-313.45403268229336</v>
      </c>
      <c r="S35">
        <f t="shared" si="3"/>
        <v>10.7994905267392</v>
      </c>
      <c r="U35" s="15">
        <f t="shared" si="12"/>
        <v>0.29000000000000009</v>
      </c>
      <c r="V35">
        <f t="shared" si="17"/>
        <v>12.300342196083207</v>
      </c>
      <c r="W35">
        <f t="shared" si="4"/>
        <v>7.6996578039167929</v>
      </c>
      <c r="X35">
        <f t="shared" si="13"/>
        <v>4.494566282404854</v>
      </c>
      <c r="Y35">
        <f t="shared" si="14"/>
        <v>-54.452423695661523</v>
      </c>
      <c r="Z35">
        <f t="shared" si="5"/>
        <v>51.291010724386631</v>
      </c>
      <c r="AA35">
        <f t="shared" si="6"/>
        <v>46.197946823500757</v>
      </c>
    </row>
    <row r="36" spans="2:27" x14ac:dyDescent="0.25">
      <c r="B36" t="s">
        <v>23</v>
      </c>
      <c r="C36">
        <v>-0.01</v>
      </c>
      <c r="H36" s="15">
        <f t="shared" si="7"/>
        <v>0.3000000000000001</v>
      </c>
      <c r="I36" s="9">
        <f t="shared" si="0"/>
        <v>24.365939861456123</v>
      </c>
      <c r="J36">
        <f t="shared" si="15"/>
        <v>24.558790091294423</v>
      </c>
      <c r="K36">
        <f t="shared" si="18"/>
        <v>48.719828537601892</v>
      </c>
      <c r="M36" s="15">
        <f t="shared" si="9"/>
        <v>0.3000000000000001</v>
      </c>
      <c r="N36">
        <f t="shared" si="16"/>
        <v>48.156470397563695</v>
      </c>
      <c r="O36">
        <f t="shared" si="1"/>
        <v>-5.0359842175261349</v>
      </c>
      <c r="P36">
        <f t="shared" si="10"/>
        <v>-0.15217129549260378</v>
      </c>
      <c r="Q36">
        <f t="shared" si="11"/>
        <v>5.7079683359738453</v>
      </c>
      <c r="R36">
        <f t="shared" si="2"/>
        <v>-306.03534751536756</v>
      </c>
      <c r="S36">
        <f t="shared" si="3"/>
        <v>10.77574522915555</v>
      </c>
      <c r="U36" s="15">
        <f t="shared" si="12"/>
        <v>0.3000000000000001</v>
      </c>
      <c r="V36">
        <f t="shared" si="17"/>
        <v>12.813252303327074</v>
      </c>
      <c r="W36">
        <f t="shared" si="4"/>
        <v>7.186747696672926</v>
      </c>
      <c r="X36">
        <f t="shared" si="13"/>
        <v>4.5689983099078022</v>
      </c>
      <c r="Y36">
        <f t="shared" si="14"/>
        <v>-51.291010724386688</v>
      </c>
      <c r="Z36">
        <f t="shared" si="5"/>
        <v>48.156470397563695</v>
      </c>
      <c r="AA36">
        <f t="shared" si="6"/>
        <v>43.12048618003756</v>
      </c>
    </row>
    <row r="37" spans="2:27" x14ac:dyDescent="0.25">
      <c r="H37" s="15">
        <f t="shared" si="7"/>
        <v>0.31000000000000011</v>
      </c>
      <c r="I37" s="9">
        <f t="shared" si="0"/>
        <v>24.930501552636457</v>
      </c>
      <c r="J37">
        <f t="shared" si="15"/>
        <v>25.125366738341707</v>
      </c>
      <c r="K37">
        <f t="shared" si="18"/>
        <v>48.748338001476206</v>
      </c>
      <c r="M37" s="15">
        <f t="shared" si="9"/>
        <v>0.31000000000000011</v>
      </c>
      <c r="N37">
        <f t="shared" si="16"/>
        <v>45.096116922410019</v>
      </c>
      <c r="O37">
        <f t="shared" si="1"/>
        <v>-4.8650189662262875</v>
      </c>
      <c r="P37">
        <f t="shared" si="10"/>
        <v>-0.20167631141136588</v>
      </c>
      <c r="Q37">
        <f t="shared" si="11"/>
        <v>17.096525129984741</v>
      </c>
      <c r="R37">
        <f t="shared" si="2"/>
        <v>-295.3773817327214</v>
      </c>
      <c r="S37">
        <f t="shared" si="3"/>
        <v>10.567454238209557</v>
      </c>
      <c r="U37" s="15">
        <f t="shared" si="12"/>
        <v>0.31000000000000011</v>
      </c>
      <c r="V37">
        <f t="shared" si="17"/>
        <v>13.294817007302711</v>
      </c>
      <c r="W37">
        <f t="shared" si="4"/>
        <v>6.7051829926972886</v>
      </c>
      <c r="X37">
        <f t="shared" si="13"/>
        <v>4.6384579633546537</v>
      </c>
      <c r="Y37">
        <f t="shared" si="14"/>
        <v>-48.156470397563744</v>
      </c>
      <c r="Z37">
        <f t="shared" si="5"/>
        <v>45.096116922410019</v>
      </c>
      <c r="AA37">
        <f t="shared" si="6"/>
        <v>40.231097956183731</v>
      </c>
    </row>
    <row r="38" spans="2:27" x14ac:dyDescent="0.25">
      <c r="B38" t="s">
        <v>36</v>
      </c>
      <c r="H38" s="15">
        <f t="shared" si="7"/>
        <v>0.32000000000000012</v>
      </c>
      <c r="I38" s="9">
        <f t="shared" si="0"/>
        <v>25.482629399883141</v>
      </c>
      <c r="J38">
        <f t="shared" si="15"/>
        <v>25.679325703363205</v>
      </c>
      <c r="K38">
        <f t="shared" si="18"/>
        <v>48.776212558578834</v>
      </c>
      <c r="M38" s="15">
        <f t="shared" si="9"/>
        <v>0.32000000000000012</v>
      </c>
      <c r="N38">
        <f t="shared" si="16"/>
        <v>42.142343105082801</v>
      </c>
      <c r="O38">
        <f t="shared" si="1"/>
        <v>-4.6170121642436754</v>
      </c>
      <c r="P38">
        <f t="shared" si="10"/>
        <v>-0.24908646706371571</v>
      </c>
      <c r="Q38">
        <f t="shared" si="11"/>
        <v>24.800680198261205</v>
      </c>
      <c r="R38">
        <f t="shared" si="2"/>
        <v>-282.60071542755838</v>
      </c>
      <c r="S38">
        <f t="shared" si="3"/>
        <v>10.231449861823318</v>
      </c>
      <c r="U38" s="15">
        <f t="shared" si="12"/>
        <v>0.32000000000000012</v>
      </c>
      <c r="V38">
        <f t="shared" si="17"/>
        <v>13.745778176526812</v>
      </c>
      <c r="W38">
        <f t="shared" si="4"/>
        <v>6.2542218234731877</v>
      </c>
      <c r="X38">
        <f t="shared" si="13"/>
        <v>4.7032549874355061</v>
      </c>
      <c r="Y38">
        <f t="shared" si="14"/>
        <v>-45.09611692241009</v>
      </c>
      <c r="Z38">
        <f t="shared" si="5"/>
        <v>42.142343105082801</v>
      </c>
      <c r="AA38">
        <f t="shared" si="6"/>
        <v>37.525330940839126</v>
      </c>
    </row>
    <row r="39" spans="2:27" x14ac:dyDescent="0.25">
      <c r="B39" t="s">
        <v>21</v>
      </c>
      <c r="C39">
        <v>6</v>
      </c>
      <c r="H39" s="15">
        <f t="shared" si="7"/>
        <v>0.33000000000000013</v>
      </c>
      <c r="I39" s="9">
        <f t="shared" si="0"/>
        <v>26.022597244792909</v>
      </c>
      <c r="J39">
        <f t="shared" si="15"/>
        <v>26.220947982585169</v>
      </c>
      <c r="K39">
        <f t="shared" si="18"/>
        <v>48.803466348306095</v>
      </c>
      <c r="M39" s="15">
        <f t="shared" si="9"/>
        <v>0.33000000000000013</v>
      </c>
      <c r="N39">
        <f t="shared" si="16"/>
        <v>39.316335950807215</v>
      </c>
      <c r="O39">
        <f t="shared" si="1"/>
        <v>-4.3195455962730591</v>
      </c>
      <c r="P39">
        <f t="shared" si="10"/>
        <v>-0.29376925586629937</v>
      </c>
      <c r="Q39">
        <f t="shared" si="11"/>
        <v>29.746656797061632</v>
      </c>
      <c r="R39">
        <f t="shared" si="2"/>
        <v>-268.54097667458103</v>
      </c>
      <c r="S39">
        <f t="shared" si="3"/>
        <v>9.8104709039069995</v>
      </c>
      <c r="U39" s="15">
        <f t="shared" si="12"/>
        <v>0.33000000000000013</v>
      </c>
      <c r="V39">
        <f t="shared" si="17"/>
        <v>14.16720160757764</v>
      </c>
      <c r="W39">
        <f t="shared" si="4"/>
        <v>5.8327983924223599</v>
      </c>
      <c r="X39">
        <f t="shared" si="13"/>
        <v>4.7636900885149842</v>
      </c>
      <c r="Y39">
        <f t="shared" si="14"/>
        <v>-42.14234310508278</v>
      </c>
      <c r="Z39">
        <f t="shared" si="5"/>
        <v>39.316335950807215</v>
      </c>
      <c r="AA39">
        <f t="shared" si="6"/>
        <v>34.996790354534156</v>
      </c>
    </row>
    <row r="40" spans="2:27" x14ac:dyDescent="0.25">
      <c r="B40" t="s">
        <v>22</v>
      </c>
      <c r="C40">
        <v>0</v>
      </c>
      <c r="H40" s="15">
        <f t="shared" si="7"/>
        <v>0.34000000000000014</v>
      </c>
      <c r="I40" s="9">
        <f t="shared" si="0"/>
        <v>26.55067289790561</v>
      </c>
      <c r="J40">
        <f t="shared" si="15"/>
        <v>26.75050831443793</v>
      </c>
      <c r="K40">
        <f t="shared" si="18"/>
        <v>48.83011319516946</v>
      </c>
      <c r="M40" s="15">
        <f t="shared" si="9"/>
        <v>0.34000000000000014</v>
      </c>
      <c r="N40">
        <f t="shared" si="16"/>
        <v>36.630926184061401</v>
      </c>
      <c r="O40">
        <f t="shared" si="1"/>
        <v>-3.9931159865756811</v>
      </c>
      <c r="P40">
        <f t="shared" si="10"/>
        <v>-0.3353325637805431</v>
      </c>
      <c r="Q40">
        <f t="shared" si="11"/>
        <v>32.6429609697378</v>
      </c>
      <c r="R40">
        <f t="shared" si="2"/>
        <v>-253.81611220282309</v>
      </c>
      <c r="S40">
        <f t="shared" si="3"/>
        <v>9.3364651823566991</v>
      </c>
      <c r="U40" s="15">
        <f t="shared" si="12"/>
        <v>0.34000000000000014</v>
      </c>
      <c r="V40">
        <f t="shared" si="17"/>
        <v>14.560364967085713</v>
      </c>
      <c r="W40">
        <f t="shared" si="4"/>
        <v>5.4396350329142873</v>
      </c>
      <c r="X40">
        <f t="shared" si="13"/>
        <v>4.8200522556416674</v>
      </c>
      <c r="Y40">
        <f t="shared" si="14"/>
        <v>-39.316335950807257</v>
      </c>
      <c r="Z40">
        <f t="shared" si="5"/>
        <v>36.630926184061401</v>
      </c>
      <c r="AA40">
        <f t="shared" si="6"/>
        <v>32.63781019748572</v>
      </c>
    </row>
    <row r="41" spans="2:27" x14ac:dyDescent="0.25">
      <c r="B41" t="s">
        <v>23</v>
      </c>
      <c r="C41">
        <v>0</v>
      </c>
      <c r="H41" s="15">
        <f t="shared" si="7"/>
        <v>0.35000000000000014</v>
      </c>
      <c r="I41" s="9">
        <f t="shared" si="0"/>
        <v>27.067118271531513</v>
      </c>
      <c r="J41">
        <f t="shared" si="15"/>
        <v>27.268275318917226</v>
      </c>
      <c r="K41">
        <f t="shared" si="18"/>
        <v>48.856166615808036</v>
      </c>
      <c r="M41" s="15">
        <f t="shared" si="9"/>
        <v>0.35000000000000014</v>
      </c>
      <c r="N41">
        <f t="shared" si="16"/>
        <v>34.092765062033173</v>
      </c>
      <c r="O41">
        <f t="shared" si="1"/>
        <v>-3.6528104355911353</v>
      </c>
      <c r="P41">
        <f t="shared" si="10"/>
        <v>-0.37356219589137718</v>
      </c>
      <c r="Q41">
        <f t="shared" si="11"/>
        <v>34.030555098454585</v>
      </c>
      <c r="R41">
        <f t="shared" si="2"/>
        <v>-238.87803345662346</v>
      </c>
      <c r="S41">
        <f t="shared" si="3"/>
        <v>8.8331262996546105</v>
      </c>
      <c r="U41" s="15">
        <f t="shared" si="12"/>
        <v>0.35000000000000014</v>
      </c>
      <c r="V41">
        <f t="shared" si="17"/>
        <v>14.926674228926327</v>
      </c>
      <c r="W41">
        <f t="shared" si="4"/>
        <v>5.073325771073673</v>
      </c>
      <c r="X41">
        <f t="shared" si="13"/>
        <v>4.8726170596616072</v>
      </c>
      <c r="Y41">
        <f t="shared" si="14"/>
        <v>-36.63092618406143</v>
      </c>
      <c r="Z41">
        <f t="shared" si="5"/>
        <v>34.092765062033173</v>
      </c>
      <c r="AA41">
        <f t="shared" si="6"/>
        <v>30.439954626442038</v>
      </c>
    </row>
    <row r="42" spans="2:27" x14ac:dyDescent="0.25">
      <c r="H42" s="15">
        <f t="shared" si="7"/>
        <v>0.36000000000000015</v>
      </c>
      <c r="I42" s="9">
        <f t="shared" si="0"/>
        <v>27.572189509653303</v>
      </c>
      <c r="J42">
        <f t="shared" si="15"/>
        <v>27.774511633841968</v>
      </c>
      <c r="K42">
        <f t="shared" si="18"/>
        <v>48.881639825844893</v>
      </c>
      <c r="M42" s="15">
        <f t="shared" si="9"/>
        <v>0.36000000000000015</v>
      </c>
      <c r="N42">
        <f t="shared" si="16"/>
        <v>31.703984727466938</v>
      </c>
      <c r="O42">
        <f t="shared" si="1"/>
        <v>-3.30959600474689</v>
      </c>
      <c r="P42">
        <f t="shared" si="10"/>
        <v>-0.40837422809306734</v>
      </c>
      <c r="Q42">
        <f t="shared" si="11"/>
        <v>34.32144308442453</v>
      </c>
      <c r="R42">
        <f t="shared" si="2"/>
        <v>-224.05238141200445</v>
      </c>
      <c r="S42">
        <f t="shared" si="3"/>
        <v>8.3178487191148704</v>
      </c>
      <c r="U42" s="15">
        <f t="shared" si="12"/>
        <v>0.36000000000000015</v>
      </c>
      <c r="V42">
        <f t="shared" si="17"/>
        <v>15.267601879546659</v>
      </c>
      <c r="W42">
        <f t="shared" si="4"/>
        <v>4.7323981204533414</v>
      </c>
      <c r="X42">
        <f t="shared" si="13"/>
        <v>4.9216456791192424</v>
      </c>
      <c r="Y42">
        <f t="shared" si="14"/>
        <v>-34.092765062033159</v>
      </c>
      <c r="Z42">
        <f t="shared" si="5"/>
        <v>31.703984727466938</v>
      </c>
      <c r="AA42">
        <f t="shared" si="6"/>
        <v>28.394388722720048</v>
      </c>
    </row>
    <row r="43" spans="2:27" x14ac:dyDescent="0.25">
      <c r="H43" s="15">
        <f t="shared" si="7"/>
        <v>0.37000000000000016</v>
      </c>
      <c r="I43" s="9">
        <f t="shared" si="0"/>
        <v>28.066137114967045</v>
      </c>
      <c r="J43">
        <f t="shared" si="15"/>
        <v>28.269474048077516</v>
      </c>
      <c r="K43">
        <f t="shared" si="18"/>
        <v>48.906545746590716</v>
      </c>
      <c r="M43" s="15">
        <f t="shared" si="9"/>
        <v>0.37000000000000016</v>
      </c>
      <c r="N43">
        <f t="shared" si="16"/>
        <v>29.463460913346893</v>
      </c>
      <c r="O43">
        <f t="shared" si="1"/>
        <v>-2.9713112742748606</v>
      </c>
      <c r="P43">
        <f t="shared" si="10"/>
        <v>-0.4397787644881761</v>
      </c>
      <c r="Q43">
        <f t="shared" si="11"/>
        <v>33.828473047202934</v>
      </c>
      <c r="R43">
        <f t="shared" si="2"/>
        <v>-209.56908208997604</v>
      </c>
      <c r="S43">
        <f t="shared" si="3"/>
        <v>7.8032316405185718</v>
      </c>
      <c r="U43" s="15">
        <f t="shared" si="12"/>
        <v>0.37000000000000016</v>
      </c>
      <c r="V43">
        <f t="shared" si="17"/>
        <v>15.584641726821328</v>
      </c>
      <c r="W43">
        <f t="shared" si="4"/>
        <v>4.415358273178672</v>
      </c>
      <c r="X43">
        <f t="shared" si="13"/>
        <v>4.9673844610874029</v>
      </c>
      <c r="Y43">
        <f t="shared" si="14"/>
        <v>-31.703984727466938</v>
      </c>
      <c r="Z43">
        <f t="shared" si="5"/>
        <v>29.463460913346893</v>
      </c>
      <c r="AA43">
        <f t="shared" si="6"/>
        <v>26.492149639072032</v>
      </c>
    </row>
    <row r="44" spans="2:27" x14ac:dyDescent="0.25">
      <c r="H44" s="15">
        <f t="shared" si="7"/>
        <v>0.38000000000000017</v>
      </c>
      <c r="I44" s="9">
        <f t="shared" si="0"/>
        <v>28.549206073125273</v>
      </c>
      <c r="J44">
        <f t="shared" si="15"/>
        <v>28.753413631792096</v>
      </c>
      <c r="K44">
        <f t="shared" si="18"/>
        <v>48.930897011598134</v>
      </c>
      <c r="M44" s="15">
        <f t="shared" si="9"/>
        <v>0.38000000000000017</v>
      </c>
      <c r="N44">
        <f t="shared" si="16"/>
        <v>27.367770092447131</v>
      </c>
      <c r="O44">
        <f t="shared" si="1"/>
        <v>-2.6434281081759146</v>
      </c>
      <c r="P44">
        <f t="shared" si="10"/>
        <v>-0.46785246140042996</v>
      </c>
      <c r="Q44">
        <f t="shared" si="11"/>
        <v>32.788316609894608</v>
      </c>
      <c r="R44">
        <f t="shared" si="2"/>
        <v>-195.58581058374793</v>
      </c>
      <c r="S44">
        <f t="shared" si="3"/>
        <v>7.2982353572550327</v>
      </c>
      <c r="U44" s="15">
        <f t="shared" si="12"/>
        <v>0.38000000000000017</v>
      </c>
      <c r="V44">
        <f t="shared" si="17"/>
        <v>15.879276335954797</v>
      </c>
      <c r="W44">
        <f t="shared" si="4"/>
        <v>4.1207236640452027</v>
      </c>
      <c r="X44">
        <f t="shared" si="13"/>
        <v>5.0100648707735225</v>
      </c>
      <c r="Y44">
        <f t="shared" si="14"/>
        <v>-29.463460913346928</v>
      </c>
      <c r="Z44">
        <f t="shared" si="5"/>
        <v>27.367770092447131</v>
      </c>
      <c r="AA44">
        <f t="shared" si="6"/>
        <v>24.724341984271216</v>
      </c>
    </row>
    <row r="45" spans="2:27" x14ac:dyDescent="0.25">
      <c r="H45" s="15">
        <f t="shared" si="7"/>
        <v>0.39000000000000018</v>
      </c>
      <c r="I45" s="9">
        <f t="shared" si="0"/>
        <v>29.021635974243743</v>
      </c>
      <c r="J45">
        <f t="shared" si="15"/>
        <v>29.226575863812386</v>
      </c>
      <c r="K45">
        <f t="shared" si="18"/>
        <v>48.954705973070112</v>
      </c>
      <c r="M45" s="15">
        <f t="shared" si="9"/>
        <v>0.39000000000000018</v>
      </c>
      <c r="N45">
        <f t="shared" si="16"/>
        <v>25.411911986609653</v>
      </c>
      <c r="O45">
        <f t="shared" si="1"/>
        <v>-2.3296362078852653</v>
      </c>
      <c r="P45">
        <f t="shared" si="10"/>
        <v>-0.49271778298073587</v>
      </c>
      <c r="Q45">
        <f t="shared" si="11"/>
        <v>31.379190029064929</v>
      </c>
      <c r="R45">
        <f t="shared" si="2"/>
        <v>-182.20598510551778</v>
      </c>
      <c r="S45">
        <f t="shared" si="3"/>
        <v>6.8090694303835608</v>
      </c>
      <c r="U45" s="15">
        <f t="shared" si="12"/>
        <v>0.39000000000000018</v>
      </c>
      <c r="V45">
        <f t="shared" si="17"/>
        <v>16.152954036879269</v>
      </c>
      <c r="W45">
        <f t="shared" si="4"/>
        <v>3.8470459631207312</v>
      </c>
      <c r="X45">
        <f t="shared" si="13"/>
        <v>5.0499037189093521</v>
      </c>
      <c r="Y45">
        <f t="shared" si="14"/>
        <v>-27.367770092447152</v>
      </c>
      <c r="Z45">
        <f t="shared" si="5"/>
        <v>25.411911986609653</v>
      </c>
      <c r="AA45">
        <f t="shared" si="6"/>
        <v>23.082275778724387</v>
      </c>
    </row>
    <row r="46" spans="2:27" x14ac:dyDescent="0.25">
      <c r="H46" s="15">
        <f t="shared" si="7"/>
        <v>0.40000000000000019</v>
      </c>
      <c r="I46" s="9">
        <f t="shared" si="0"/>
        <v>29.483661131732134</v>
      </c>
      <c r="J46">
        <f t="shared" si="15"/>
        <v>29.689200756142878</v>
      </c>
      <c r="K46">
        <f t="shared" si="18"/>
        <v>48.977984708125625</v>
      </c>
      <c r="M46" s="15">
        <f t="shared" si="9"/>
        <v>0.40000000000000019</v>
      </c>
      <c r="N46">
        <f t="shared" si="16"/>
        <v>23.589852135554473</v>
      </c>
      <c r="O46">
        <f t="shared" si="1"/>
        <v>-2.0322910760266666</v>
      </c>
      <c r="P46">
        <f t="shared" si="10"/>
        <v>-0.51452741940029556</v>
      </c>
      <c r="Q46">
        <f t="shared" si="11"/>
        <v>29.734513185859868</v>
      </c>
      <c r="R46">
        <f t="shared" si="2"/>
        <v>-169.49254626866318</v>
      </c>
      <c r="S46">
        <f t="shared" si="3"/>
        <v>6.3398741171962119</v>
      </c>
      <c r="U46" s="15">
        <f t="shared" si="12"/>
        <v>0.40000000000000019</v>
      </c>
      <c r="V46">
        <f t="shared" si="17"/>
        <v>16.407073156745366</v>
      </c>
      <c r="W46">
        <f t="shared" si="4"/>
        <v>3.5929268432546344</v>
      </c>
      <c r="X46">
        <f t="shared" si="13"/>
        <v>5.0871035829412286</v>
      </c>
      <c r="Y46">
        <f t="shared" si="14"/>
        <v>-25.411911986609681</v>
      </c>
      <c r="Z46">
        <f t="shared" si="5"/>
        <v>23.589852135554473</v>
      </c>
      <c r="AA46">
        <f t="shared" si="6"/>
        <v>21.557561059527806</v>
      </c>
    </row>
    <row r="47" spans="2:27" x14ac:dyDescent="0.25">
      <c r="H47" s="15">
        <f t="shared" si="7"/>
        <v>0.4100000000000002</v>
      </c>
      <c r="I47" s="9">
        <f t="shared" si="0"/>
        <v>29.935510698507631</v>
      </c>
      <c r="J47">
        <f t="shared" si="15"/>
        <v>30.141522975712213</v>
      </c>
      <c r="K47">
        <f t="shared" si="18"/>
        <v>49.000745024925777</v>
      </c>
      <c r="M47" s="15">
        <f t="shared" si="9"/>
        <v>0.4100000000000002</v>
      </c>
      <c r="N47">
        <f t="shared" si="16"/>
        <v>21.89492667286784</v>
      </c>
      <c r="O47">
        <f t="shared" si="1"/>
        <v>-1.7527567414732985</v>
      </c>
      <c r="P47">
        <f t="shared" si="10"/>
        <v>-0.53345265848779544</v>
      </c>
      <c r="Q47">
        <f t="shared" si="11"/>
        <v>27.953433455336807</v>
      </c>
      <c r="R47">
        <f t="shared" si="2"/>
        <v>-157.47848965436495</v>
      </c>
      <c r="S47">
        <f t="shared" si="3"/>
        <v>5.8932424408322062</v>
      </c>
      <c r="U47" s="15">
        <f t="shared" si="12"/>
        <v>0.4100000000000002</v>
      </c>
      <c r="V47">
        <f t="shared" si="17"/>
        <v>16.64297167810091</v>
      </c>
      <c r="W47">
        <f t="shared" si="4"/>
        <v>3.3570283218990902</v>
      </c>
      <c r="X47">
        <f t="shared" si="13"/>
        <v>5.1218533587669972</v>
      </c>
      <c r="Y47">
        <f t="shared" si="14"/>
        <v>-23.589852135554423</v>
      </c>
      <c r="Z47">
        <f t="shared" si="5"/>
        <v>21.89492667286784</v>
      </c>
      <c r="AA47">
        <f t="shared" si="6"/>
        <v>20.142169931394541</v>
      </c>
    </row>
    <row r="48" spans="2:27" x14ac:dyDescent="0.25">
      <c r="H48" s="15">
        <f t="shared" si="7"/>
        <v>0.42000000000000021</v>
      </c>
      <c r="I48" s="9">
        <f t="shared" si="0"/>
        <v>30.377408780649048</v>
      </c>
      <c r="J48">
        <f t="shared" si="15"/>
        <v>30.583771963408214</v>
      </c>
      <c r="K48">
        <f t="shared" si="18"/>
        <v>49.022998468663495</v>
      </c>
      <c r="M48" s="15">
        <f t="shared" si="9"/>
        <v>0.42000000000000021</v>
      </c>
      <c r="N48">
        <f t="shared" si="16"/>
        <v>20.320141776324188</v>
      </c>
      <c r="O48">
        <f t="shared" si="1"/>
        <v>-1.4916674453017187</v>
      </c>
      <c r="P48">
        <f t="shared" si="10"/>
        <v>-0.54967477942167053</v>
      </c>
      <c r="Q48">
        <f t="shared" si="11"/>
        <v>26.108929617157983</v>
      </c>
      <c r="R48">
        <f t="shared" si="2"/>
        <v>-146.17489898966872</v>
      </c>
      <c r="S48">
        <f t="shared" si="3"/>
        <v>5.4706194915402104</v>
      </c>
      <c r="U48" s="15">
        <f t="shared" si="12"/>
        <v>0.42000000000000021</v>
      </c>
      <c r="V48">
        <f t="shared" si="17"/>
        <v>16.861920944829588</v>
      </c>
      <c r="W48">
        <f t="shared" si="4"/>
        <v>3.1380790551704116</v>
      </c>
      <c r="X48">
        <f t="shared" si="13"/>
        <v>5.1543288956523448</v>
      </c>
      <c r="Y48">
        <f t="shared" si="14"/>
        <v>-21.894926672867854</v>
      </c>
      <c r="Z48">
        <f t="shared" si="5"/>
        <v>20.320141776324188</v>
      </c>
      <c r="AA48">
        <f t="shared" si="6"/>
        <v>18.82847433102247</v>
      </c>
    </row>
    <row r="49" spans="8:27" x14ac:dyDescent="0.25">
      <c r="H49" s="15">
        <f t="shared" si="7"/>
        <v>0.43000000000000022</v>
      </c>
      <c r="I49" s="9">
        <f t="shared" si="0"/>
        <v>30.809574548547822</v>
      </c>
      <c r="J49">
        <f t="shared" si="15"/>
        <v>31.016172050461989</v>
      </c>
      <c r="K49">
        <f t="shared" si="18"/>
        <v>49.044756327419861</v>
      </c>
      <c r="M49" s="15">
        <f t="shared" si="9"/>
        <v>0.43000000000000022</v>
      </c>
      <c r="N49">
        <f t="shared" si="16"/>
        <v>18.858392786427501</v>
      </c>
      <c r="O49">
        <f t="shared" si="1"/>
        <v>-1.2491269619844871</v>
      </c>
      <c r="P49">
        <f t="shared" si="10"/>
        <v>-0.56337875145810157</v>
      </c>
      <c r="Q49">
        <f t="shared" si="11"/>
        <v>24.254048331723155</v>
      </c>
      <c r="R49">
        <f t="shared" si="2"/>
        <v>-135.57705653900078</v>
      </c>
      <c r="S49">
        <f t="shared" si="3"/>
        <v>5.0726071979422507</v>
      </c>
      <c r="U49" s="15">
        <f t="shared" si="12"/>
        <v>0.43000000000000022</v>
      </c>
      <c r="V49">
        <f t="shared" si="17"/>
        <v>17.065122362592831</v>
      </c>
      <c r="W49">
        <f t="shared" si="4"/>
        <v>2.934877637407169</v>
      </c>
      <c r="X49">
        <f t="shared" si="13"/>
        <v>5.1846936791152327</v>
      </c>
      <c r="Y49">
        <f t="shared" si="14"/>
        <v>-20.320141776324263</v>
      </c>
      <c r="Z49">
        <f t="shared" si="5"/>
        <v>18.858392786427501</v>
      </c>
      <c r="AA49">
        <f t="shared" si="6"/>
        <v>17.609265824443014</v>
      </c>
    </row>
    <row r="50" spans="8:27" x14ac:dyDescent="0.25">
      <c r="H50" s="15">
        <f t="shared" si="7"/>
        <v>0.44000000000000022</v>
      </c>
      <c r="I50" s="9">
        <f t="shared" si="0"/>
        <v>31.232222345611049</v>
      </c>
      <c r="J50">
        <f t="shared" si="15"/>
        <v>31.438942572240176</v>
      </c>
      <c r="K50">
        <f t="shared" si="18"/>
        <v>49.06602963788999</v>
      </c>
      <c r="M50" s="15">
        <f t="shared" si="9"/>
        <v>0.44000000000000022</v>
      </c>
      <c r="N50">
        <f t="shared" si="16"/>
        <v>17.502622221037495</v>
      </c>
      <c r="O50">
        <f t="shared" si="1"/>
        <v>-1.0248599637801341</v>
      </c>
      <c r="P50">
        <f t="shared" si="10"/>
        <v>-0.57474868608692464</v>
      </c>
      <c r="Q50">
        <f t="shared" si="11"/>
        <v>22.426699820435303</v>
      </c>
      <c r="R50">
        <f t="shared" si="2"/>
        <v>-125.66907553862831</v>
      </c>
      <c r="S50">
        <f t="shared" si="3"/>
        <v>4.6991963597905384</v>
      </c>
      <c r="U50" s="15">
        <f t="shared" si="12"/>
        <v>0.44000000000000022</v>
      </c>
      <c r="V50">
        <f t="shared" si="17"/>
        <v>17.253706290457107</v>
      </c>
      <c r="W50">
        <f t="shared" si="4"/>
        <v>2.7462937095428934</v>
      </c>
      <c r="X50">
        <f t="shared" si="13"/>
        <v>5.2130995358499828</v>
      </c>
      <c r="Y50">
        <f t="shared" si="14"/>
        <v>-18.858392786427558</v>
      </c>
      <c r="Z50">
        <f t="shared" si="5"/>
        <v>17.502622221037495</v>
      </c>
      <c r="AA50">
        <f t="shared" si="6"/>
        <v>16.477762257257361</v>
      </c>
    </row>
    <row r="51" spans="8:27" x14ac:dyDescent="0.25">
      <c r="H51" s="15">
        <f t="shared" si="7"/>
        <v>0.45000000000000023</v>
      </c>
      <c r="I51" s="9">
        <f t="shared" si="0"/>
        <v>31.645561794570465</v>
      </c>
      <c r="J51">
        <f t="shared" si="15"/>
        <v>31.85229797950301</v>
      </c>
      <c r="K51">
        <f t="shared" si="18"/>
        <v>49.086829190981398</v>
      </c>
      <c r="M51" s="15">
        <f t="shared" si="9"/>
        <v>0.45000000000000023</v>
      </c>
      <c r="N51">
        <f t="shared" si="16"/>
        <v>16.245931465651211</v>
      </c>
      <c r="O51">
        <f t="shared" si="1"/>
        <v>-0.81832654165609142</v>
      </c>
      <c r="P51">
        <f t="shared" si="10"/>
        <v>-0.58396461861410576</v>
      </c>
      <c r="Q51">
        <f t="shared" si="11"/>
        <v>20.653342212404269</v>
      </c>
      <c r="R51">
        <f t="shared" si="2"/>
        <v>-116.42739773639963</v>
      </c>
      <c r="S51">
        <f t="shared" si="3"/>
        <v>4.3499427542586684</v>
      </c>
      <c r="U51" s="15">
        <f t="shared" si="12"/>
        <v>0.45000000000000023</v>
      </c>
      <c r="V51">
        <f t="shared" si="17"/>
        <v>17.42873251266748</v>
      </c>
      <c r="W51">
        <f t="shared" si="4"/>
        <v>2.5712674873325199</v>
      </c>
      <c r="X51">
        <f t="shared" si="13"/>
        <v>5.2396873418343599</v>
      </c>
      <c r="Y51">
        <f t="shared" si="14"/>
        <v>-17.502622221037356</v>
      </c>
      <c r="Z51">
        <f t="shared" si="5"/>
        <v>16.245931465651211</v>
      </c>
      <c r="AA51">
        <f t="shared" si="6"/>
        <v>15.427604923995119</v>
      </c>
    </row>
    <row r="52" spans="8:27" x14ac:dyDescent="0.25">
      <c r="H52" s="15">
        <f t="shared" si="7"/>
        <v>0.46000000000000024</v>
      </c>
      <c r="I52" s="9">
        <f t="shared" si="0"/>
        <v>32.049797901450056</v>
      </c>
      <c r="J52">
        <f t="shared" si="15"/>
        <v>32.256447947184697</v>
      </c>
      <c r="K52">
        <f t="shared" si="18"/>
        <v>49.10716553728772</v>
      </c>
      <c r="M52" s="15">
        <f t="shared" si="9"/>
        <v>0.46000000000000024</v>
      </c>
      <c r="N52">
        <f t="shared" si="16"/>
        <v>15.081657488287215</v>
      </c>
      <c r="O52">
        <f t="shared" si="1"/>
        <v>-0.62880845223117099</v>
      </c>
      <c r="P52">
        <f t="shared" si="10"/>
        <v>-0.59120029358354209</v>
      </c>
      <c r="Q52">
        <f t="shared" si="11"/>
        <v>18.951808942492043</v>
      </c>
      <c r="R52">
        <f t="shared" si="2"/>
        <v>-107.82342052931635</v>
      </c>
      <c r="S52">
        <f t="shared" si="3"/>
        <v>4.024100282955132</v>
      </c>
      <c r="U52" s="15">
        <f t="shared" si="12"/>
        <v>0.46000000000000024</v>
      </c>
      <c r="V52">
        <f t="shared" si="17"/>
        <v>17.591191827323993</v>
      </c>
      <c r="W52">
        <f t="shared" si="4"/>
        <v>2.4088081726760073</v>
      </c>
      <c r="X52">
        <f t="shared" si="13"/>
        <v>5.2645877201344025</v>
      </c>
      <c r="Y52">
        <f t="shared" si="14"/>
        <v>-16.245931465651253</v>
      </c>
      <c r="Z52">
        <f t="shared" si="5"/>
        <v>15.081657488287215</v>
      </c>
      <c r="AA52">
        <f t="shared" si="6"/>
        <v>14.452849036056044</v>
      </c>
    </row>
    <row r="53" spans="8:27" x14ac:dyDescent="0.25">
      <c r="H53" s="15">
        <f t="shared" si="7"/>
        <v>0.47000000000000025</v>
      </c>
      <c r="I53" s="9">
        <f t="shared" si="0"/>
        <v>32.445131157243921</v>
      </c>
      <c r="J53">
        <f t="shared" si="15"/>
        <v>32.651597480751221</v>
      </c>
      <c r="K53">
        <f t="shared" si="18"/>
        <v>49.127048992440486</v>
      </c>
      <c r="M53" s="15">
        <f t="shared" si="9"/>
        <v>0.47000000000000025</v>
      </c>
      <c r="N53">
        <f t="shared" si="16"/>
        <v>14.003423282994051</v>
      </c>
      <c r="O53">
        <f t="shared" si="1"/>
        <v>-0.45547369623523259</v>
      </c>
      <c r="P53">
        <f t="shared" si="10"/>
        <v>-0.59662170432587414</v>
      </c>
      <c r="Q53">
        <f t="shared" si="11"/>
        <v>17.333475599593839</v>
      </c>
      <c r="R53">
        <f t="shared" si="2"/>
        <v>-99.825457533918609</v>
      </c>
      <c r="S53">
        <f t="shared" si="3"/>
        <v>3.7207211581038973</v>
      </c>
      <c r="U53" s="15">
        <f t="shared" si="12"/>
        <v>0.47000000000000025</v>
      </c>
      <c r="V53">
        <f t="shared" si="17"/>
        <v>17.742008402206864</v>
      </c>
      <c r="W53">
        <f t="shared" si="4"/>
        <v>2.2579915977931364</v>
      </c>
      <c r="X53">
        <f t="shared" si="13"/>
        <v>5.2879217189867482</v>
      </c>
      <c r="Y53">
        <f t="shared" si="14"/>
        <v>-15.081657488287092</v>
      </c>
      <c r="Z53">
        <f t="shared" si="5"/>
        <v>14.003423282994051</v>
      </c>
      <c r="AA53">
        <f t="shared" si="6"/>
        <v>13.547949586758818</v>
      </c>
    </row>
    <row r="54" spans="8:27" x14ac:dyDescent="0.25">
      <c r="H54" s="15">
        <f t="shared" si="7"/>
        <v>0.48000000000000026</v>
      </c>
      <c r="I54" s="9">
        <f t="shared" si="0"/>
        <v>32.831757637354769</v>
      </c>
      <c r="J54">
        <f t="shared" si="15"/>
        <v>33.037947020189563</v>
      </c>
      <c r="K54">
        <f t="shared" si="18"/>
        <v>49.146489642341749</v>
      </c>
      <c r="M54" s="15">
        <f t="shared" si="9"/>
        <v>0.48000000000000026</v>
      </c>
      <c r="N54">
        <f t="shared" si="16"/>
        <v>13.005168707654866</v>
      </c>
      <c r="O54">
        <f t="shared" si="1"/>
        <v>-0.29742451787568847</v>
      </c>
      <c r="P54">
        <f t="shared" si="10"/>
        <v>-0.60038619539642879</v>
      </c>
      <c r="Q54">
        <f t="shared" si="11"/>
        <v>15.804917835954413</v>
      </c>
      <c r="R54">
        <f t="shared" si="2"/>
        <v>-92.400189602971807</v>
      </c>
      <c r="S54">
        <f t="shared" si="3"/>
        <v>3.4387308343739766</v>
      </c>
      <c r="U54" s="15">
        <f t="shared" si="12"/>
        <v>0.48000000000000026</v>
      </c>
      <c r="V54">
        <f t="shared" si="17"/>
        <v>17.882042635036804</v>
      </c>
      <c r="W54">
        <f t="shared" si="4"/>
        <v>2.1179573649631962</v>
      </c>
      <c r="X54">
        <f t="shared" si="13"/>
        <v>5.3098014638005298</v>
      </c>
      <c r="Y54">
        <f t="shared" si="14"/>
        <v>-14.003423282994021</v>
      </c>
      <c r="Z54">
        <f t="shared" si="5"/>
        <v>13.005168707654866</v>
      </c>
      <c r="AA54">
        <f t="shared" si="6"/>
        <v>12.707744189779177</v>
      </c>
    </row>
    <row r="55" spans="8:27" x14ac:dyDescent="0.25">
      <c r="H55" s="15">
        <f t="shared" si="7"/>
        <v>0.49000000000000027</v>
      </c>
      <c r="I55" s="9">
        <f t="shared" si="0"/>
        <v>33.209869098842489</v>
      </c>
      <c r="J55">
        <f t="shared" si="15"/>
        <v>33.415692541681089</v>
      </c>
      <c r="K55">
        <f t="shared" si="18"/>
        <v>49.165497348280162</v>
      </c>
      <c r="M55" s="15">
        <f t="shared" si="9"/>
        <v>0.49000000000000027</v>
      </c>
      <c r="N55">
        <f t="shared" si="16"/>
        <v>12.081166811625147</v>
      </c>
      <c r="O55">
        <f t="shared" si="1"/>
        <v>-0.15373274430526074</v>
      </c>
      <c r="P55">
        <f t="shared" si="10"/>
        <v>-0.60264198170733352</v>
      </c>
      <c r="Q55">
        <f t="shared" si="11"/>
        <v>14.369177357042773</v>
      </c>
      <c r="R55">
        <f t="shared" si="2"/>
        <v>-85.513727165918823</v>
      </c>
      <c r="S55">
        <f t="shared" si="3"/>
        <v>3.1769836235767612</v>
      </c>
      <c r="U55" s="15">
        <f t="shared" si="12"/>
        <v>0.49000000000000027</v>
      </c>
      <c r="V55">
        <f t="shared" si="17"/>
        <v>18.012094322113352</v>
      </c>
      <c r="W55">
        <f t="shared" si="4"/>
        <v>1.9879056778866477</v>
      </c>
      <c r="X55">
        <f t="shared" si="13"/>
        <v>5.3303307790147789</v>
      </c>
      <c r="Y55">
        <f t="shared" si="14"/>
        <v>-13.005168707654846</v>
      </c>
      <c r="Z55">
        <f t="shared" si="5"/>
        <v>12.081166811625147</v>
      </c>
      <c r="AA55">
        <f t="shared" si="6"/>
        <v>11.927434067319886</v>
      </c>
    </row>
    <row r="56" spans="8:27" x14ac:dyDescent="0.25">
      <c r="H56" s="15">
        <f>H55+$E$8</f>
        <v>0.50000000000000022</v>
      </c>
      <c r="I56" s="9">
        <f t="shared" si="0"/>
        <v>33.579653075530743</v>
      </c>
      <c r="J56">
        <f t="shared" si="15"/>
        <v>33.785025657010657</v>
      </c>
      <c r="K56">
        <f t="shared" si="18"/>
        <v>49.184081751933135</v>
      </c>
      <c r="M56" s="15">
        <f>M55+$E$8</f>
        <v>0.50000000000000022</v>
      </c>
      <c r="N56">
        <f t="shared" si="16"/>
        <v>11.226029539965959</v>
      </c>
      <c r="O56">
        <f t="shared" si="1"/>
        <v>-2.3465481343572847E-2</v>
      </c>
      <c r="P56">
        <f t="shared" si="10"/>
        <v>-0.60352797283557769</v>
      </c>
      <c r="Q56">
        <f t="shared" si="11"/>
        <v>13.026726296168789</v>
      </c>
      <c r="R56">
        <f t="shared" si="2"/>
        <v>-79.132376887042227</v>
      </c>
      <c r="S56">
        <f t="shared" si="3"/>
        <v>2.9343035639033461</v>
      </c>
      <c r="U56" s="15">
        <f>U55+$E$8</f>
        <v>0.50000000000000022</v>
      </c>
      <c r="V56">
        <f t="shared" si="17"/>
        <v>18.132905990229602</v>
      </c>
      <c r="W56">
        <f t="shared" si="4"/>
        <v>1.8670940097703976</v>
      </c>
      <c r="X56">
        <f t="shared" si="13"/>
        <v>5.3496057774530641</v>
      </c>
      <c r="Y56">
        <f t="shared" si="14"/>
        <v>-12.08116681162501</v>
      </c>
      <c r="Z56">
        <f t="shared" si="5"/>
        <v>11.226029539965959</v>
      </c>
      <c r="AA56">
        <f t="shared" si="6"/>
        <v>11.202564058622386</v>
      </c>
    </row>
    <row r="57" spans="8:27" x14ac:dyDescent="0.25">
      <c r="H57" s="15">
        <f t="shared" si="7"/>
        <v>0.51000000000000023</v>
      </c>
      <c r="I57" s="9">
        <f t="shared" si="0"/>
        <v>33.941292971019138</v>
      </c>
      <c r="J57">
        <f t="shared" si="15"/>
        <v>34.146133710761866</v>
      </c>
      <c r="K57">
        <f t="shared" si="18"/>
        <v>49.202252280257582</v>
      </c>
      <c r="M57" s="15">
        <f t="shared" si="9"/>
        <v>0.51000000000000023</v>
      </c>
      <c r="N57">
        <f t="shared" si="16"/>
        <v>10.434705771095537</v>
      </c>
      <c r="O57">
        <f t="shared" si="1"/>
        <v>9.4296515128881708E-2</v>
      </c>
      <c r="P57">
        <f t="shared" si="10"/>
        <v>-0.60317381766665112</v>
      </c>
      <c r="Q57">
        <f t="shared" si="11"/>
        <v>11.776199647245456</v>
      </c>
      <c r="R57">
        <f t="shared" si="2"/>
        <v>-73.22318412435753</v>
      </c>
      <c r="S57">
        <f t="shared" si="3"/>
        <v>2.7095140616030378</v>
      </c>
      <c r="U57" s="15">
        <f t="shared" si="12"/>
        <v>0.51000000000000023</v>
      </c>
      <c r="V57">
        <f t="shared" si="17"/>
        <v>18.245166285629264</v>
      </c>
      <c r="W57">
        <f t="shared" si="4"/>
        <v>1.7548337143707364</v>
      </c>
      <c r="X57">
        <f t="shared" si="13"/>
        <v>5.3677154160737697</v>
      </c>
      <c r="Y57">
        <f t="shared" si="14"/>
        <v>-11.22602953996612</v>
      </c>
      <c r="Z57">
        <f t="shared" si="5"/>
        <v>10.434705771095537</v>
      </c>
      <c r="AA57">
        <f t="shared" si="6"/>
        <v>10.529002286224419</v>
      </c>
    </row>
    <row r="58" spans="8:27" x14ac:dyDescent="0.25">
      <c r="H58" s="15">
        <f t="shared" si="7"/>
        <v>0.52000000000000024</v>
      </c>
      <c r="I58" s="9">
        <f t="shared" si="0"/>
        <v>34.29496814964677</v>
      </c>
      <c r="J58">
        <f t="shared" si="15"/>
        <v>34.499199875347806</v>
      </c>
      <c r="K58">
        <f t="shared" si="18"/>
        <v>49.220018150271756</v>
      </c>
      <c r="M58" s="15">
        <f t="shared" si="9"/>
        <v>0.52000000000000024</v>
      </c>
      <c r="N58">
        <f t="shared" si="16"/>
        <v>9.702473929851962</v>
      </c>
      <c r="O58">
        <f t="shared" si="1"/>
        <v>0.2004460101067167</v>
      </c>
      <c r="P58">
        <f t="shared" si="10"/>
        <v>-0.60170010504047311</v>
      </c>
      <c r="Q58">
        <f t="shared" si="11"/>
        <v>10.614949497783499</v>
      </c>
      <c r="R58">
        <f t="shared" si="2"/>
        <v>-67.754306082248902</v>
      </c>
      <c r="S58">
        <f t="shared" si="3"/>
        <v>2.5014590100110974</v>
      </c>
      <c r="U58" s="15">
        <f t="shared" si="12"/>
        <v>0.52000000000000024</v>
      </c>
      <c r="V58">
        <f t="shared" si="17"/>
        <v>18.34951334334022</v>
      </c>
      <c r="W58">
        <f t="shared" si="4"/>
        <v>1.6504866566597798</v>
      </c>
      <c r="X58">
        <f t="shared" si="13"/>
        <v>5.3847420179289225</v>
      </c>
      <c r="Y58">
        <f t="shared" si="14"/>
        <v>-10.434705771095665</v>
      </c>
      <c r="Z58">
        <f t="shared" si="5"/>
        <v>9.702473929851962</v>
      </c>
      <c r="AA58">
        <f t="shared" si="6"/>
        <v>9.9029199399586787</v>
      </c>
    </row>
    <row r="59" spans="8:27" x14ac:dyDescent="0.25">
      <c r="H59" s="15">
        <f t="shared" si="7"/>
        <v>0.53000000000000025</v>
      </c>
      <c r="I59" s="9">
        <f t="shared" si="0"/>
        <v>34.64085402545247</v>
      </c>
      <c r="J59">
        <f t="shared" si="15"/>
        <v>34.844403243925427</v>
      </c>
      <c r="K59">
        <f t="shared" si="18"/>
        <v>49.237388373730568</v>
      </c>
      <c r="M59" s="15">
        <f t="shared" si="9"/>
        <v>0.53000000000000025</v>
      </c>
      <c r="N59">
        <f t="shared" si="16"/>
        <v>9.0249308690294736</v>
      </c>
      <c r="O59">
        <f t="shared" si="1"/>
        <v>0.29584063513809333</v>
      </c>
      <c r="P59">
        <f t="shared" si="10"/>
        <v>-0.59921867181424904</v>
      </c>
      <c r="Q59">
        <f t="shared" si="11"/>
        <v>9.5394625031376634</v>
      </c>
      <c r="R59">
        <f t="shared" si="2"/>
        <v>-62.69525776021392</v>
      </c>
      <c r="S59">
        <f t="shared" si="3"/>
        <v>2.309017463763682</v>
      </c>
      <c r="U59" s="15">
        <f t="shared" si="12"/>
        <v>0.53000000000000025</v>
      </c>
      <c r="V59">
        <f t="shared" si="17"/>
        <v>18.446538082638739</v>
      </c>
      <c r="W59">
        <f t="shared" si="4"/>
        <v>1.5534619173612612</v>
      </c>
      <c r="X59">
        <f t="shared" si="13"/>
        <v>5.4007617607990275</v>
      </c>
      <c r="Y59">
        <f t="shared" si="14"/>
        <v>-9.7024739298518625</v>
      </c>
      <c r="Z59">
        <f t="shared" si="5"/>
        <v>9.0249308690294736</v>
      </c>
      <c r="AA59">
        <f t="shared" si="6"/>
        <v>9.3207715041675669</v>
      </c>
    </row>
    <row r="60" spans="8:27" x14ac:dyDescent="0.25">
      <c r="H60" s="15">
        <f t="shared" si="7"/>
        <v>0.54000000000000026</v>
      </c>
      <c r="I60" s="9">
        <f t="shared" si="0"/>
        <v>34.979122149175801</v>
      </c>
      <c r="J60">
        <f t="shared" si="15"/>
        <v>35.181918921240722</v>
      </c>
      <c r="K60">
        <f t="shared" si="18"/>
        <v>49.254371761696845</v>
      </c>
      <c r="M60" s="15">
        <f t="shared" si="9"/>
        <v>0.54000000000000026</v>
      </c>
      <c r="N60">
        <f t="shared" si="16"/>
        <v>8.397978291427334</v>
      </c>
      <c r="O60">
        <f t="shared" si="1"/>
        <v>0.3812973605984542</v>
      </c>
      <c r="P60">
        <f t="shared" si="10"/>
        <v>-0.59583298183556632</v>
      </c>
      <c r="Q60">
        <f t="shared" si="11"/>
        <v>8.5456725460360872</v>
      </c>
      <c r="R60">
        <f t="shared" si="2"/>
        <v>-58.017062942544548</v>
      </c>
      <c r="S60">
        <f t="shared" si="3"/>
        <v>2.1311134625205623</v>
      </c>
      <c r="U60" s="15">
        <f t="shared" si="12"/>
        <v>0.54000000000000026</v>
      </c>
      <c r="V60">
        <f t="shared" si="17"/>
        <v>18.536787391329035</v>
      </c>
      <c r="W60">
        <f t="shared" si="4"/>
        <v>1.4632126086709647</v>
      </c>
      <c r="X60">
        <f t="shared" si="13"/>
        <v>5.4158451334291886</v>
      </c>
      <c r="Y60">
        <f t="shared" si="14"/>
        <v>-9.0249308690296459</v>
      </c>
      <c r="Z60">
        <f t="shared" si="5"/>
        <v>8.397978291427334</v>
      </c>
      <c r="AA60">
        <f t="shared" si="6"/>
        <v>8.7792756520257882</v>
      </c>
    </row>
    <row r="61" spans="8:27" x14ac:dyDescent="0.25">
      <c r="H61" s="15">
        <f t="shared" si="7"/>
        <v>0.55000000000000027</v>
      </c>
      <c r="I61" s="9">
        <f t="shared" si="0"/>
        <v>35.309940293341874</v>
      </c>
      <c r="J61">
        <f t="shared" si="15"/>
        <v>35.511918112450786</v>
      </c>
      <c r="K61">
        <f t="shared" si="18"/>
        <v>49.270976929010722</v>
      </c>
      <c r="M61" s="15">
        <f t="shared" si="9"/>
        <v>0.55000000000000027</v>
      </c>
      <c r="N61">
        <f t="shared" si="16"/>
        <v>7.8178076620018881</v>
      </c>
      <c r="O61">
        <f t="shared" si="1"/>
        <v>0.45758929253826075</v>
      </c>
      <c r="P61">
        <f t="shared" si="10"/>
        <v>-0.59163854856988274</v>
      </c>
      <c r="Q61">
        <f t="shared" si="11"/>
        <v>7.6291931939806545</v>
      </c>
      <c r="R61">
        <f t="shared" si="2"/>
        <v>-53.69233488042768</v>
      </c>
      <c r="S61">
        <f t="shared" si="3"/>
        <v>1.9667222258330854</v>
      </c>
      <c r="U61" s="15">
        <f t="shared" si="12"/>
        <v>0.55000000000000027</v>
      </c>
      <c r="V61">
        <f t="shared" si="17"/>
        <v>18.620767174243309</v>
      </c>
      <c r="W61">
        <f t="shared" si="4"/>
        <v>1.3792328257566915</v>
      </c>
      <c r="X61">
        <f t="shared" si="13"/>
        <v>5.4300573606013272</v>
      </c>
      <c r="Y61">
        <f t="shared" si="14"/>
        <v>-8.3979782914273216</v>
      </c>
      <c r="Z61">
        <f t="shared" si="5"/>
        <v>7.8178076620018881</v>
      </c>
      <c r="AA61">
        <f t="shared" si="6"/>
        <v>8.2753969545401489</v>
      </c>
    </row>
    <row r="62" spans="8:27" x14ac:dyDescent="0.25">
      <c r="H62" s="15">
        <f t="shared" si="7"/>
        <v>0.56000000000000028</v>
      </c>
      <c r="I62" s="9">
        <f t="shared" si="0"/>
        <v>35.633472535472364</v>
      </c>
      <c r="J62">
        <f t="shared" si="15"/>
        <v>35.834568209967777</v>
      </c>
      <c r="K62">
        <f t="shared" si="18"/>
        <v>49.287212298659547</v>
      </c>
      <c r="M62" s="15">
        <f t="shared" si="9"/>
        <v>0.56000000000000028</v>
      </c>
      <c r="N62">
        <f t="shared" si="16"/>
        <v>7.2808843131976113</v>
      </c>
      <c r="O62">
        <f t="shared" si="1"/>
        <v>0.52544418162241779</v>
      </c>
      <c r="P62">
        <f t="shared" si="10"/>
        <v>-0.5867233811990793</v>
      </c>
      <c r="Q62">
        <f t="shared" si="11"/>
        <v>6.7854889084157044</v>
      </c>
      <c r="R62">
        <f t="shared" si="2"/>
        <v>-49.69530547202011</v>
      </c>
      <c r="S62">
        <f t="shared" si="3"/>
        <v>1.8148736536664041</v>
      </c>
      <c r="U62" s="15">
        <f t="shared" si="12"/>
        <v>0.56000000000000028</v>
      </c>
      <c r="V62">
        <f t="shared" si="17"/>
        <v>18.698945250863328</v>
      </c>
      <c r="W62">
        <f t="shared" si="4"/>
        <v>1.3010547491366715</v>
      </c>
      <c r="X62">
        <f t="shared" si="13"/>
        <v>5.4434587984757936</v>
      </c>
      <c r="Y62">
        <f t="shared" si="14"/>
        <v>-7.8178076620019965</v>
      </c>
      <c r="Z62">
        <f t="shared" si="5"/>
        <v>7.2808843131976113</v>
      </c>
      <c r="AA62">
        <f t="shared" si="6"/>
        <v>7.8063284948200291</v>
      </c>
    </row>
    <row r="63" spans="8:27" x14ac:dyDescent="0.25">
      <c r="H63" s="15">
        <f t="shared" si="7"/>
        <v>0.57000000000000028</v>
      </c>
      <c r="I63" s="9">
        <f t="shared" si="0"/>
        <v>35.949879339463862</v>
      </c>
      <c r="J63">
        <f t="shared" si="15"/>
        <v>36.150032878368911</v>
      </c>
      <c r="K63">
        <f t="shared" si="18"/>
        <v>49.303086106050436</v>
      </c>
      <c r="M63" s="15">
        <f t="shared" si="9"/>
        <v>0.57000000000000028</v>
      </c>
      <c r="N63">
        <f t="shared" si="16"/>
        <v>6.7839312584774101</v>
      </c>
      <c r="O63">
        <f t="shared" si="1"/>
        <v>0.58554417755075772</v>
      </c>
      <c r="P63">
        <f t="shared" si="10"/>
        <v>-0.58116843940321339</v>
      </c>
      <c r="Q63">
        <f t="shared" si="11"/>
        <v>6.0099995928339922</v>
      </c>
      <c r="R63">
        <f t="shared" si="2"/>
        <v>-46.001817248426583</v>
      </c>
      <c r="S63">
        <f t="shared" si="3"/>
        <v>1.6746538459862115</v>
      </c>
      <c r="U63" s="15">
        <f t="shared" si="12"/>
        <v>0.57000000000000028</v>
      </c>
      <c r="V63">
        <f t="shared" si="17"/>
        <v>18.771754093995305</v>
      </c>
      <c r="W63">
        <f t="shared" si="4"/>
        <v>1.2282459060046946</v>
      </c>
      <c r="X63">
        <f t="shared" si="13"/>
        <v>5.4561053017515002</v>
      </c>
      <c r="Y63">
        <f t="shared" si="14"/>
        <v>-7.2808843131976886</v>
      </c>
      <c r="Z63">
        <f t="shared" si="5"/>
        <v>6.7839312584774101</v>
      </c>
      <c r="AA63">
        <f t="shared" si="6"/>
        <v>7.3694754360281678</v>
      </c>
    </row>
    <row r="64" spans="8:27" x14ac:dyDescent="0.25">
      <c r="H64" s="15">
        <f t="shared" si="7"/>
        <v>0.58000000000000029</v>
      </c>
      <c r="I64" s="9">
        <f t="shared" si="0"/>
        <v>36.259317635173915</v>
      </c>
      <c r="J64">
        <f t="shared" si="15"/>
        <v>36.458472137415463</v>
      </c>
      <c r="K64">
        <f t="shared" si="18"/>
        <v>49.318606403187701</v>
      </c>
      <c r="M64" s="15">
        <f t="shared" si="9"/>
        <v>0.58000000000000029</v>
      </c>
      <c r="N64">
        <f t="shared" si="16"/>
        <v>6.3239130859931443</v>
      </c>
      <c r="O64">
        <f t="shared" si="1"/>
        <v>0.63852647452638323</v>
      </c>
      <c r="P64">
        <f t="shared" si="10"/>
        <v>-0.57504808614282765</v>
      </c>
      <c r="Q64">
        <f t="shared" si="11"/>
        <v>5.2982296975625509</v>
      </c>
      <c r="R64">
        <f t="shared" si="2"/>
        <v>-42.589289016234638</v>
      </c>
      <c r="S64">
        <f t="shared" si="3"/>
        <v>1.5452051846857464</v>
      </c>
      <c r="U64" s="15">
        <f t="shared" si="12"/>
        <v>0.58000000000000029</v>
      </c>
      <c r="V64">
        <f t="shared" si="17"/>
        <v>18.839593406580079</v>
      </c>
      <c r="W64">
        <f t="shared" si="4"/>
        <v>1.1604065934199213</v>
      </c>
      <c r="X64">
        <f t="shared" si="13"/>
        <v>5.4680485642486234</v>
      </c>
      <c r="Y64">
        <f t="shared" si="14"/>
        <v>-6.7839312584773381</v>
      </c>
      <c r="Z64">
        <f t="shared" si="5"/>
        <v>6.3239130859931443</v>
      </c>
      <c r="AA64">
        <f t="shared" si="6"/>
        <v>6.9624395605195275</v>
      </c>
    </row>
    <row r="65" spans="8:27" x14ac:dyDescent="0.25">
      <c r="H65" s="15">
        <f t="shared" si="7"/>
        <v>0.5900000000000003</v>
      </c>
      <c r="I65" s="9">
        <f t="shared" si="0"/>
        <v>36.561940896254349</v>
      </c>
      <c r="J65">
        <f t="shared" si="15"/>
        <v>36.760042443222936</v>
      </c>
      <c r="K65">
        <f t="shared" si="18"/>
        <v>49.333781062757225</v>
      </c>
      <c r="M65" s="15">
        <f t="shared" si="9"/>
        <v>0.5900000000000003</v>
      </c>
      <c r="N65">
        <f t="shared" si="16"/>
        <v>5.8980201958307976</v>
      </c>
      <c r="O65">
        <f t="shared" si="1"/>
        <v>0.68498457952914826</v>
      </c>
      <c r="P65">
        <f t="shared" si="10"/>
        <v>-0.56843053087255002</v>
      </c>
      <c r="Q65">
        <f t="shared" si="11"/>
        <v>4.6458105002765038</v>
      </c>
      <c r="R65">
        <f t="shared" si="2"/>
        <v>-39.436663352118664</v>
      </c>
      <c r="S65">
        <f t="shared" si="3"/>
        <v>1.4257253903016887</v>
      </c>
      <c r="U65" s="15">
        <f t="shared" si="12"/>
        <v>0.5900000000000003</v>
      </c>
      <c r="V65">
        <f t="shared" si="17"/>
        <v>18.902832537440009</v>
      </c>
      <c r="W65">
        <f t="shared" si="4"/>
        <v>1.097167462559991</v>
      </c>
      <c r="X65">
        <f t="shared" si="13"/>
        <v>5.4793364345285234</v>
      </c>
      <c r="Y65">
        <f t="shared" si="14"/>
        <v>-6.323913085993027</v>
      </c>
      <c r="Z65">
        <f t="shared" si="5"/>
        <v>5.8980201958307976</v>
      </c>
      <c r="AA65">
        <f t="shared" si="6"/>
        <v>6.5830047753599459</v>
      </c>
    </row>
    <row r="66" spans="8:27" x14ac:dyDescent="0.25">
      <c r="H66" s="15">
        <f t="shared" si="7"/>
        <v>0.60000000000000031</v>
      </c>
      <c r="I66" s="9">
        <f t="shared" si="0"/>
        <v>36.857899216270319</v>
      </c>
      <c r="J66">
        <f t="shared" si="15"/>
        <v>37.05489676762361</v>
      </c>
      <c r="K66">
        <f t="shared" si="18"/>
        <v>49.348617782119902</v>
      </c>
      <c r="M66" s="15">
        <f t="shared" si="9"/>
        <v>0.60000000000000031</v>
      </c>
      <c r="N66">
        <f t="shared" si="16"/>
        <v>5.5036535623096112</v>
      </c>
      <c r="O66">
        <f t="shared" si="1"/>
        <v>0.72547000130047667</v>
      </c>
      <c r="P66">
        <f t="shared" si="10"/>
        <v>-0.56137825796840191</v>
      </c>
      <c r="Q66">
        <f t="shared" si="11"/>
        <v>4.0485421771328411</v>
      </c>
      <c r="R66">
        <f t="shared" si="2"/>
        <v>-36.524342108529886</v>
      </c>
      <c r="S66">
        <f t="shared" si="3"/>
        <v>1.3154658654697275</v>
      </c>
      <c r="U66" s="15">
        <f t="shared" si="12"/>
        <v>0.60000000000000031</v>
      </c>
      <c r="V66">
        <f t="shared" si="17"/>
        <v>18.961812739398319</v>
      </c>
      <c r="W66">
        <f t="shared" si="4"/>
        <v>1.0381872606016813</v>
      </c>
      <c r="X66">
        <f t="shared" si="13"/>
        <v>5.4900132081443314</v>
      </c>
      <c r="Y66">
        <f t="shared" si="14"/>
        <v>-5.8980201958309664</v>
      </c>
      <c r="Z66">
        <f t="shared" si="5"/>
        <v>5.5036535623096112</v>
      </c>
      <c r="AA66">
        <f t="shared" si="6"/>
        <v>6.2291235636100879</v>
      </c>
    </row>
    <row r="67" spans="8:27" x14ac:dyDescent="0.25">
      <c r="H67" s="15">
        <f t="shared" si="7"/>
        <v>0.61000000000000032</v>
      </c>
      <c r="I67" s="9">
        <f t="shared" si="0"/>
        <v>37.147339383143013</v>
      </c>
      <c r="J67">
        <f t="shared" si="15"/>
        <v>37.34318467576162</v>
      </c>
      <c r="K67">
        <f t="shared" si="18"/>
        <v>49.363124087216121</v>
      </c>
      <c r="M67" s="15">
        <f t="shared" si="9"/>
        <v>0.61000000000000032</v>
      </c>
      <c r="N67">
        <f t="shared" si="16"/>
        <v>5.1384101412243126</v>
      </c>
      <c r="O67">
        <f t="shared" si="1"/>
        <v>0.76049420864720219</v>
      </c>
      <c r="P67">
        <f t="shared" si="10"/>
        <v>-0.55394843691866347</v>
      </c>
      <c r="Q67">
        <f t="shared" si="11"/>
        <v>3.5024207346725511</v>
      </c>
      <c r="R67">
        <f t="shared" si="2"/>
        <v>-33.834114529648403</v>
      </c>
      <c r="S67">
        <f t="shared" si="3"/>
        <v>1.2137295599521876</v>
      </c>
      <c r="U67" s="15">
        <f t="shared" si="12"/>
        <v>0.61000000000000032</v>
      </c>
      <c r="V67">
        <f t="shared" si="17"/>
        <v>19.016849275021414</v>
      </c>
      <c r="W67">
        <f t="shared" si="4"/>
        <v>0.9831507249785858</v>
      </c>
      <c r="X67">
        <f t="shared" si="13"/>
        <v>5.5001198980722323</v>
      </c>
      <c r="Y67">
        <f t="shared" si="14"/>
        <v>-5.5036535623095517</v>
      </c>
      <c r="Z67">
        <f t="shared" si="5"/>
        <v>5.1384101412243126</v>
      </c>
      <c r="AA67">
        <f t="shared" si="6"/>
        <v>5.8989043498715148</v>
      </c>
    </row>
    <row r="68" spans="8:27" x14ac:dyDescent="0.25">
      <c r="H68" s="15">
        <f t="shared" si="7"/>
        <v>0.62000000000000033</v>
      </c>
      <c r="I68" s="9">
        <f t="shared" si="0"/>
        <v>37.430404951952738</v>
      </c>
      <c r="J68">
        <f t="shared" si="15"/>
        <v>37.625052401960048</v>
      </c>
      <c r="K68">
        <f t="shared" si="18"/>
        <v>49.377307336383325</v>
      </c>
      <c r="M68" s="15">
        <f t="shared" si="9"/>
        <v>0.62000000000000033</v>
      </c>
      <c r="N68">
        <f t="shared" si="16"/>
        <v>4.8000689959278287</v>
      </c>
      <c r="O68">
        <f t="shared" si="1"/>
        <v>0.79053074547022995</v>
      </c>
      <c r="P68">
        <f t="shared" si="10"/>
        <v>-0.54619331214807632</v>
      </c>
      <c r="Q68">
        <f t="shared" si="11"/>
        <v>3.003653682302776</v>
      </c>
      <c r="R68">
        <f t="shared" si="2"/>
        <v>-31.34908138419981</v>
      </c>
      <c r="S68">
        <f t="shared" si="3"/>
        <v>1.119868532976894</v>
      </c>
      <c r="U68" s="15">
        <f t="shared" si="12"/>
        <v>0.62000000000000033</v>
      </c>
      <c r="V68">
        <f t="shared" si="17"/>
        <v>19.068233376433657</v>
      </c>
      <c r="W68">
        <f t="shared" si="4"/>
        <v>0.9317666235663431</v>
      </c>
      <c r="X68">
        <f t="shared" si="13"/>
        <v>5.5096944848149567</v>
      </c>
      <c r="Y68">
        <f t="shared" si="14"/>
        <v>-5.13841014122427</v>
      </c>
      <c r="Z68">
        <f t="shared" si="5"/>
        <v>4.8000689959278287</v>
      </c>
      <c r="AA68">
        <f t="shared" si="6"/>
        <v>5.5905997413980586</v>
      </c>
    </row>
    <row r="69" spans="8:27" x14ac:dyDescent="0.25">
      <c r="H69" s="15">
        <f t="shared" si="7"/>
        <v>0.63000000000000034</v>
      </c>
      <c r="I69" s="9">
        <f t="shared" si="0"/>
        <v>37.707236316138676</v>
      </c>
      <c r="J69">
        <f t="shared" si="15"/>
        <v>37.900642923898403</v>
      </c>
      <c r="K69">
        <f t="shared" si="18"/>
        <v>49.391174724088508</v>
      </c>
      <c r="M69" s="15">
        <f t="shared" si="9"/>
        <v>0.63000000000000034</v>
      </c>
      <c r="N69">
        <f t="shared" si="16"/>
        <v>4.4865781820858306</v>
      </c>
      <c r="O69">
        <f t="shared" si="1"/>
        <v>0.81601741955656415</v>
      </c>
      <c r="P69">
        <f t="shared" si="10"/>
        <v>-0.53816057132294237</v>
      </c>
      <c r="Q69">
        <f t="shared" si="11"/>
        <v>2.5486674086334205</v>
      </c>
      <c r="R69">
        <f t="shared" si="2"/>
        <v>-29.053577611818103</v>
      </c>
      <c r="S69">
        <f t="shared" si="3"/>
        <v>1.0332813434152492</v>
      </c>
      <c r="U69" s="15">
        <f t="shared" si="12"/>
        <v>0.63000000000000034</v>
      </c>
      <c r="V69">
        <f t="shared" si="17"/>
        <v>19.116234066392934</v>
      </c>
      <c r="W69">
        <f t="shared" si="4"/>
        <v>0.88376593360706579</v>
      </c>
      <c r="X69">
        <f t="shared" si="13"/>
        <v>5.5187721476008234</v>
      </c>
      <c r="Y69">
        <f t="shared" si="14"/>
        <v>-4.800068995927731</v>
      </c>
      <c r="Z69">
        <f t="shared" si="5"/>
        <v>4.4865781820858306</v>
      </c>
      <c r="AA69">
        <f t="shared" si="6"/>
        <v>5.3025956016423947</v>
      </c>
    </row>
    <row r="70" spans="8:27" x14ac:dyDescent="0.25">
      <c r="H70" s="15">
        <f t="shared" si="7"/>
        <v>0.64000000000000035</v>
      </c>
      <c r="I70" s="9">
        <f t="shared" si="0"/>
        <v>37.977970777130508</v>
      </c>
      <c r="J70">
        <f t="shared" si="15"/>
        <v>38.170096035138201</v>
      </c>
      <c r="K70">
        <f t="shared" si="18"/>
        <v>49.404733284577624</v>
      </c>
      <c r="M70" s="15">
        <f t="shared" si="9"/>
        <v>0.64000000000000035</v>
      </c>
      <c r="N70">
        <f t="shared" si="16"/>
        <v>4.1960424059676491</v>
      </c>
      <c r="O70">
        <f t="shared" si="1"/>
        <v>0.83735850474960571</v>
      </c>
      <c r="P70">
        <f t="shared" si="10"/>
        <v>-0.52989369170141154</v>
      </c>
      <c r="Q70">
        <f t="shared" si="11"/>
        <v>2.1341085193041565</v>
      </c>
      <c r="R70">
        <f t="shared" si="2"/>
        <v>-26.933095287346212</v>
      </c>
      <c r="S70">
        <f t="shared" si="3"/>
        <v>0.95341036381480482</v>
      </c>
      <c r="U70" s="15">
        <f t="shared" si="12"/>
        <v>0.64000000000000035</v>
      </c>
      <c r="V70">
        <f t="shared" si="17"/>
        <v>19.161099848213791</v>
      </c>
      <c r="W70">
        <f t="shared" si="4"/>
        <v>0.83890015178620914</v>
      </c>
      <c r="X70">
        <f t="shared" si="13"/>
        <v>5.5273854780277896</v>
      </c>
      <c r="Y70">
        <f t="shared" si="14"/>
        <v>-4.4865781820856654</v>
      </c>
      <c r="Z70">
        <f t="shared" si="5"/>
        <v>4.1960424059676491</v>
      </c>
      <c r="AA70">
        <f t="shared" si="6"/>
        <v>5.0334009107172548</v>
      </c>
    </row>
    <row r="71" spans="8:27" x14ac:dyDescent="0.25">
      <c r="H71" s="15">
        <f t="shared" si="7"/>
        <v>0.65000000000000036</v>
      </c>
      <c r="I71" s="9">
        <f t="shared" ref="I71:I134" si="19">DEGREES(-2*$E$5/$C$6*$C$9/$C$8*$C$18*(1-EXP(-$C$20*H71)))</f>
        <v>38.242742612446499</v>
      </c>
      <c r="J71">
        <f t="shared" si="15"/>
        <v>38.433548416033389</v>
      </c>
      <c r="K71">
        <f t="shared" si="18"/>
        <v>49.417989895443739</v>
      </c>
      <c r="M71" s="15">
        <f t="shared" si="9"/>
        <v>0.65000000000000036</v>
      </c>
      <c r="N71">
        <f t="shared" si="16"/>
        <v>3.9267114530941871</v>
      </c>
      <c r="O71">
        <f t="shared" ref="O71:O134" si="20">AA71-N71</f>
        <v>0.85492691326500214</v>
      </c>
      <c r="P71">
        <f t="shared" si="10"/>
        <v>-0.52143226461133851</v>
      </c>
      <c r="Q71">
        <f t="shared" si="11"/>
        <v>1.7568408515396428</v>
      </c>
      <c r="R71">
        <f t="shared" ref="R71:R134" si="21">DEGREES($E$6*$C$5*$C$6^2*$E$5/(4*$C$7)*$C$8*RADIANS(N71)+$E$6*$C$5*$C$6*$E$5^2/(2*$C$7)*$C$9*RADIANS(S71))</f>
        <v>-24.974208182278286</v>
      </c>
      <c r="S71">
        <f t="shared" ref="S71:S134" si="22">MAX(MIN($C$34*O71+$C$35*P71+$C$36*Q71,21.5),-21.5)</f>
        <v>0.87973908801129186</v>
      </c>
      <c r="U71" s="15">
        <f t="shared" si="12"/>
        <v>0.65000000000000036</v>
      </c>
      <c r="V71">
        <f t="shared" si="17"/>
        <v>19.203060272273468</v>
      </c>
      <c r="W71">
        <f t="shared" ref="W71:W134" si="23">$E$9-V71</f>
        <v>0.79693972772653154</v>
      </c>
      <c r="X71">
        <f t="shared" si="13"/>
        <v>5.5355646774253531</v>
      </c>
      <c r="Y71">
        <f t="shared" si="14"/>
        <v>-4.1960424059677592</v>
      </c>
      <c r="Z71">
        <f t="shared" ref="Z71:Z134" si="24">N71</f>
        <v>3.9267114530941871</v>
      </c>
      <c r="AA71">
        <f t="shared" ref="AA71:AA134" si="25">$C$39*W71+$C$40*X71+$C$41*Y71</f>
        <v>4.7816383663591893</v>
      </c>
    </row>
    <row r="72" spans="8:27" x14ac:dyDescent="0.25">
      <c r="H72" s="15">
        <f t="shared" ref="H72:H135" si="26">H71+$E$8</f>
        <v>0.66000000000000036</v>
      </c>
      <c r="I72" s="9">
        <f t="shared" si="19"/>
        <v>38.501683142291746</v>
      </c>
      <c r="J72">
        <f t="shared" si="15"/>
        <v>38.691133703061588</v>
      </c>
      <c r="K72">
        <f t="shared" si="18"/>
        <v>49.430951281115661</v>
      </c>
      <c r="M72" s="15">
        <f t="shared" ref="M72:M135" si="27">M71+$E$8</f>
        <v>0.66000000000000036</v>
      </c>
      <c r="N72">
        <f t="shared" si="16"/>
        <v>3.6769693712714044</v>
      </c>
      <c r="O72">
        <f t="shared" si="20"/>
        <v>0.86906630790212347</v>
      </c>
      <c r="P72">
        <f t="shared" ref="P72:P135" si="28">IF(ABS(S71)&gt;21, P71, P71+(O72+O71)*$E$8/2)</f>
        <v>-0.51281229850550292</v>
      </c>
      <c r="Q72">
        <f t="shared" ref="Q72:Q135" si="29">(O72-O71)/$E$8</f>
        <v>1.4139394637121327</v>
      </c>
      <c r="R72">
        <f t="shared" si="21"/>
        <v>-23.164498805858045</v>
      </c>
      <c r="S72">
        <f t="shared" si="22"/>
        <v>0.81178948208614621</v>
      </c>
      <c r="U72" s="15">
        <f t="shared" ref="U72:U135" si="30">U71+$E$8</f>
        <v>0.66000000000000036</v>
      </c>
      <c r="V72">
        <f t="shared" si="17"/>
        <v>19.242327386804412</v>
      </c>
      <c r="W72">
        <f t="shared" si="23"/>
        <v>0.75767261319558799</v>
      </c>
      <c r="X72">
        <f t="shared" ref="X72:X135" si="31">X71+(W72+W71)*$E$8/2</f>
        <v>5.5433377391299636</v>
      </c>
      <c r="Y72">
        <f t="shared" ref="Y72:Y135" si="32">(W72-W71)/$E$8</f>
        <v>-3.9267114530943559</v>
      </c>
      <c r="Z72">
        <f t="shared" si="24"/>
        <v>3.6769693712714044</v>
      </c>
      <c r="AA72">
        <f t="shared" si="25"/>
        <v>4.5460356791735279</v>
      </c>
    </row>
    <row r="73" spans="8:27" x14ac:dyDescent="0.25">
      <c r="H73" s="15">
        <f t="shared" si="26"/>
        <v>0.67000000000000037</v>
      </c>
      <c r="I73" s="9">
        <f t="shared" si="19"/>
        <v>38.754920794689788</v>
      </c>
      <c r="J73">
        <f t="shared" ref="J73:J136" si="33">J72+$E$8*DEGREES($E$6*$C$5*$C$6^2*$E$5/(4*$C$7)*$C$8*RADIANS(J72) +$E$6*$C$5*$C$6*$E$5^2/(2*$C$7)*$C$9*$C$18)</f>
        <v>38.942982556611312</v>
      </c>
      <c r="K73">
        <f t="shared" si="18"/>
        <v>49.443624016268942</v>
      </c>
      <c r="M73" s="15">
        <f t="shared" si="27"/>
        <v>0.67000000000000037</v>
      </c>
      <c r="N73">
        <f t="shared" ref="N73:N136" si="34">N72+$E$8*R72</f>
        <v>3.445324383212824</v>
      </c>
      <c r="O73">
        <f t="shared" si="20"/>
        <v>0.88009313368442266</v>
      </c>
      <c r="P73">
        <f t="shared" si="28"/>
        <v>-0.50406650129757014</v>
      </c>
      <c r="Q73">
        <f t="shared" si="29"/>
        <v>1.1026825782299188</v>
      </c>
      <c r="R73">
        <f t="shared" si="21"/>
        <v>-21.492488510150643</v>
      </c>
      <c r="S73">
        <f t="shared" si="22"/>
        <v>0.74911941333670606</v>
      </c>
      <c r="U73" s="15">
        <f t="shared" si="30"/>
        <v>0.67000000000000037</v>
      </c>
      <c r="V73">
        <f t="shared" ref="V73:V136" si="35">V72+$E$8*Z72</f>
        <v>19.279097080517126</v>
      </c>
      <c r="W73">
        <f t="shared" si="23"/>
        <v>0.72090291948287444</v>
      </c>
      <c r="X73">
        <f t="shared" si="31"/>
        <v>5.5507306167933557</v>
      </c>
      <c r="Y73">
        <f t="shared" si="32"/>
        <v>-3.6769693712713547</v>
      </c>
      <c r="Z73">
        <f t="shared" si="24"/>
        <v>3.445324383212824</v>
      </c>
      <c r="AA73">
        <f t="shared" si="25"/>
        <v>4.3254175168972466</v>
      </c>
    </row>
    <row r="74" spans="8:27" x14ac:dyDescent="0.25">
      <c r="H74" s="15">
        <f t="shared" si="26"/>
        <v>0.68000000000000038</v>
      </c>
      <c r="I74" s="9">
        <f t="shared" si="19"/>
        <v>39.002581169179635</v>
      </c>
      <c r="J74">
        <f t="shared" si="33"/>
        <v>39.189222727259597</v>
      </c>
      <c r="K74">
        <f t="shared" si="18"/>
        <v>49.456014529160868</v>
      </c>
      <c r="M74" s="15">
        <f t="shared" si="27"/>
        <v>0.68000000000000038</v>
      </c>
      <c r="N74">
        <f t="shared" si="34"/>
        <v>3.2303994981113178</v>
      </c>
      <c r="O74">
        <f t="shared" si="20"/>
        <v>0.8882985557931562</v>
      </c>
      <c r="P74">
        <f t="shared" si="28"/>
        <v>-0.49522454285018225</v>
      </c>
      <c r="Q74">
        <f t="shared" si="29"/>
        <v>0.82054221087335399</v>
      </c>
      <c r="R74">
        <f t="shared" si="21"/>
        <v>-19.947571020631653</v>
      </c>
      <c r="S74">
        <f t="shared" si="22"/>
        <v>0.69132018055586508</v>
      </c>
      <c r="U74" s="15">
        <f t="shared" si="30"/>
        <v>0.68000000000000038</v>
      </c>
      <c r="V74">
        <f t="shared" si="35"/>
        <v>19.313550324349254</v>
      </c>
      <c r="W74">
        <f t="shared" si="23"/>
        <v>0.68644967565074566</v>
      </c>
      <c r="X74">
        <f t="shared" si="31"/>
        <v>5.5577673797690235</v>
      </c>
      <c r="Y74">
        <f t="shared" si="32"/>
        <v>-3.4453243832128777</v>
      </c>
      <c r="Z74">
        <f t="shared" si="24"/>
        <v>3.2303994981113178</v>
      </c>
      <c r="AA74">
        <f t="shared" si="25"/>
        <v>4.118698053904474</v>
      </c>
    </row>
    <row r="75" spans="8:27" x14ac:dyDescent="0.25">
      <c r="H75" s="15">
        <f t="shared" si="26"/>
        <v>0.69000000000000039</v>
      </c>
      <c r="I75" s="9">
        <f t="shared" si="19"/>
        <v>39.244787099109978</v>
      </c>
      <c r="J75">
        <f t="shared" si="33"/>
        <v>39.429979120573591</v>
      </c>
      <c r="K75">
        <f t="shared" si="18"/>
        <v>49.468129104891204</v>
      </c>
      <c r="M75" s="15">
        <f t="shared" si="27"/>
        <v>0.69000000000000039</v>
      </c>
      <c r="N75">
        <f t="shared" si="34"/>
        <v>3.0309237879050013</v>
      </c>
      <c r="O75">
        <f t="shared" si="20"/>
        <v>0.8939502961127932</v>
      </c>
      <c r="P75">
        <f t="shared" si="28"/>
        <v>-0.48631329859065248</v>
      </c>
      <c r="Q75">
        <f t="shared" si="29"/>
        <v>0.56517403196369997</v>
      </c>
      <c r="R75">
        <f t="shared" si="21"/>
        <v>-18.519949588794557</v>
      </c>
      <c r="S75">
        <f t="shared" si="22"/>
        <v>0.63801416040803893</v>
      </c>
      <c r="U75" s="15">
        <f t="shared" si="30"/>
        <v>0.69000000000000039</v>
      </c>
      <c r="V75">
        <f t="shared" si="35"/>
        <v>19.345854319330368</v>
      </c>
      <c r="W75">
        <f t="shared" si="23"/>
        <v>0.65414568066963241</v>
      </c>
      <c r="X75">
        <f t="shared" si="31"/>
        <v>5.5644703565506255</v>
      </c>
      <c r="Y75">
        <f t="shared" si="32"/>
        <v>-3.2303994981113249</v>
      </c>
      <c r="Z75">
        <f t="shared" si="24"/>
        <v>3.0309237879050013</v>
      </c>
      <c r="AA75">
        <f t="shared" si="25"/>
        <v>3.9248740840177945</v>
      </c>
    </row>
    <row r="76" spans="8:27" x14ac:dyDescent="0.25">
      <c r="H76" s="15">
        <f t="shared" si="26"/>
        <v>0.7000000000000004</v>
      </c>
      <c r="I76" s="9">
        <f t="shared" si="19"/>
        <v>39.481658712561526</v>
      </c>
      <c r="J76">
        <f t="shared" si="33"/>
        <v>39.665373860469039</v>
      </c>
      <c r="K76">
        <f t="shared" si="18"/>
        <v>49.479973888590337</v>
      </c>
      <c r="M76" s="15">
        <f t="shared" si="27"/>
        <v>0.7000000000000004</v>
      </c>
      <c r="N76">
        <f t="shared" si="34"/>
        <v>2.8457242920170556</v>
      </c>
      <c r="O76">
        <f t="shared" si="20"/>
        <v>0.89729436472644597</v>
      </c>
      <c r="P76">
        <f t="shared" si="28"/>
        <v>-0.47735707528645627</v>
      </c>
      <c r="Q76">
        <f t="shared" si="29"/>
        <v>0.33440686136527731</v>
      </c>
      <c r="R76">
        <f t="shared" si="21"/>
        <v>-17.200577842263211</v>
      </c>
      <c r="S76">
        <f t="shared" si="22"/>
        <v>0.58885257836573679</v>
      </c>
      <c r="U76" s="15">
        <f t="shared" si="30"/>
        <v>0.7000000000000004</v>
      </c>
      <c r="V76">
        <f t="shared" si="35"/>
        <v>19.376163557209416</v>
      </c>
      <c r="W76">
        <f t="shared" si="23"/>
        <v>0.62383644279058359</v>
      </c>
      <c r="X76">
        <f t="shared" si="31"/>
        <v>5.5708602671679266</v>
      </c>
      <c r="Y76">
        <f t="shared" si="32"/>
        <v>-3.0309237879048823</v>
      </c>
      <c r="Z76">
        <f t="shared" si="24"/>
        <v>2.8457242920170556</v>
      </c>
      <c r="AA76">
        <f t="shared" si="25"/>
        <v>3.7430186567435015</v>
      </c>
    </row>
    <row r="77" spans="8:27" x14ac:dyDescent="0.25">
      <c r="H77" s="15">
        <f t="shared" si="26"/>
        <v>0.71000000000000041</v>
      </c>
      <c r="I77" s="9">
        <f t="shared" si="19"/>
        <v>39.713313491927487</v>
      </c>
      <c r="J77">
        <f t="shared" si="33"/>
        <v>39.895526351157741</v>
      </c>
      <c r="K77">
        <f t="shared" si="18"/>
        <v>49.491554888536363</v>
      </c>
      <c r="M77" s="15">
        <f t="shared" si="27"/>
        <v>0.71000000000000041</v>
      </c>
      <c r="N77">
        <f t="shared" si="34"/>
        <v>2.6737185135944235</v>
      </c>
      <c r="O77">
        <f t="shared" si="20"/>
        <v>0.89855668562806512</v>
      </c>
      <c r="P77">
        <f t="shared" si="28"/>
        <v>-0.4683778200346837</v>
      </c>
      <c r="Q77">
        <f t="shared" si="29"/>
        <v>0.12623209016191517</v>
      </c>
      <c r="R77">
        <f t="shared" si="21"/>
        <v>-15.981104320332914</v>
      </c>
      <c r="S77">
        <f t="shared" si="22"/>
        <v>0.54351340801566916</v>
      </c>
      <c r="U77" s="15">
        <f t="shared" si="30"/>
        <v>0.71000000000000041</v>
      </c>
      <c r="V77">
        <f t="shared" si="35"/>
        <v>19.404620800129585</v>
      </c>
      <c r="W77">
        <f t="shared" si="23"/>
        <v>0.59537919987041477</v>
      </c>
      <c r="X77">
        <f t="shared" si="31"/>
        <v>5.5769563453812312</v>
      </c>
      <c r="Y77">
        <f t="shared" si="32"/>
        <v>-2.8457242920168824</v>
      </c>
      <c r="Z77">
        <f t="shared" si="24"/>
        <v>2.6737185135944235</v>
      </c>
      <c r="AA77">
        <f t="shared" si="25"/>
        <v>3.5722751992224886</v>
      </c>
    </row>
    <row r="78" spans="8:27" x14ac:dyDescent="0.25">
      <c r="H78" s="15">
        <f t="shared" si="26"/>
        <v>0.72000000000000042</v>
      </c>
      <c r="I78" s="9">
        <f t="shared" si="19"/>
        <v>39.939866332181893</v>
      </c>
      <c r="J78">
        <f t="shared" si="33"/>
        <v>40.120553337715471</v>
      </c>
      <c r="K78">
        <f t="shared" si="18"/>
        <v>49.502877979202822</v>
      </c>
      <c r="M78" s="15">
        <f t="shared" si="27"/>
        <v>0.72000000000000042</v>
      </c>
      <c r="N78">
        <f t="shared" si="34"/>
        <v>2.5139074703910942</v>
      </c>
      <c r="O78">
        <f t="shared" si="20"/>
        <v>0.89794461801573755</v>
      </c>
      <c r="P78">
        <f t="shared" si="28"/>
        <v>-0.45939531351646468</v>
      </c>
      <c r="Q78">
        <f t="shared" si="29"/>
        <v>-6.1206761232757145E-2</v>
      </c>
      <c r="R78">
        <f t="shared" si="21"/>
        <v>-14.853820620775547</v>
      </c>
      <c r="S78">
        <f t="shared" si="22"/>
        <v>0.50169939916317574</v>
      </c>
      <c r="U78" s="15">
        <f t="shared" si="30"/>
        <v>0.72000000000000042</v>
      </c>
      <c r="V78">
        <f t="shared" si="35"/>
        <v>19.431357985265528</v>
      </c>
      <c r="W78">
        <f t="shared" si="23"/>
        <v>0.56864201473447196</v>
      </c>
      <c r="X78">
        <f t="shared" si="31"/>
        <v>5.5827764514542553</v>
      </c>
      <c r="Y78">
        <f t="shared" si="32"/>
        <v>-2.6737185135942809</v>
      </c>
      <c r="Z78">
        <f t="shared" si="24"/>
        <v>2.5139074703910942</v>
      </c>
      <c r="AA78">
        <f t="shared" si="25"/>
        <v>3.4118520884068317</v>
      </c>
    </row>
    <row r="79" spans="8:27" x14ac:dyDescent="0.25">
      <c r="H79" s="15">
        <f t="shared" si="26"/>
        <v>0.73000000000000043</v>
      </c>
      <c r="I79" s="9">
        <f t="shared" si="19"/>
        <v>40.16142959786464</v>
      </c>
      <c r="J79">
        <f t="shared" si="33"/>
        <v>40.340568965301024</v>
      </c>
      <c r="K79">
        <f t="shared" si="18"/>
        <v>49.513948904238518</v>
      </c>
      <c r="M79" s="15">
        <f t="shared" si="27"/>
        <v>0.73000000000000043</v>
      </c>
      <c r="N79">
        <f t="shared" si="34"/>
        <v>2.3653692641833386</v>
      </c>
      <c r="O79">
        <f t="shared" si="20"/>
        <v>0.89564837600002267</v>
      </c>
      <c r="P79">
        <f t="shared" si="28"/>
        <v>-0.45042734854638589</v>
      </c>
      <c r="Q79">
        <f t="shared" si="29"/>
        <v>-0.22962420157148777</v>
      </c>
      <c r="R79">
        <f t="shared" si="21"/>
        <v>-13.811613040822843</v>
      </c>
      <c r="S79">
        <f t="shared" si="22"/>
        <v>0.46313623274759896</v>
      </c>
      <c r="U79" s="15">
        <f t="shared" si="30"/>
        <v>0.73000000000000043</v>
      </c>
      <c r="V79">
        <f t="shared" si="35"/>
        <v>19.45649705996944</v>
      </c>
      <c r="W79">
        <f t="shared" si="23"/>
        <v>0.54350294003056021</v>
      </c>
      <c r="X79">
        <f t="shared" si="31"/>
        <v>5.5883371762280802</v>
      </c>
      <c r="Y79">
        <f t="shared" si="32"/>
        <v>-2.5139074703911746</v>
      </c>
      <c r="Z79">
        <f t="shared" si="24"/>
        <v>2.3653692641833386</v>
      </c>
      <c r="AA79">
        <f t="shared" si="25"/>
        <v>3.2610176401833613</v>
      </c>
    </row>
    <row r="80" spans="8:27" x14ac:dyDescent="0.25">
      <c r="H80" s="15">
        <f t="shared" si="26"/>
        <v>0.74000000000000044</v>
      </c>
      <c r="I80" s="9">
        <f t="shared" si="19"/>
        <v>40.378113178811482</v>
      </c>
      <c r="J80">
        <f t="shared" si="33"/>
        <v>40.555684837056461</v>
      </c>
      <c r="K80">
        <f t="shared" si="18"/>
        <v>49.524773279380987</v>
      </c>
      <c r="M80" s="15">
        <f t="shared" si="27"/>
        <v>0.74000000000000044</v>
      </c>
      <c r="N80">
        <f t="shared" si="34"/>
        <v>2.2272531337751102</v>
      </c>
      <c r="O80">
        <f t="shared" si="20"/>
        <v>0.89184235055725214</v>
      </c>
      <c r="P80">
        <f t="shared" si="28"/>
        <v>-0.44148989491359952</v>
      </c>
      <c r="Q80">
        <f t="shared" si="29"/>
        <v>-0.38060254427705331</v>
      </c>
      <c r="R80">
        <f t="shared" si="21"/>
        <v>-12.847917566765032</v>
      </c>
      <c r="S80">
        <f t="shared" si="22"/>
        <v>0.42757079889626404</v>
      </c>
      <c r="U80" s="15">
        <f t="shared" si="30"/>
        <v>0.74000000000000044</v>
      </c>
      <c r="V80">
        <f t="shared" si="35"/>
        <v>19.480150752611273</v>
      </c>
      <c r="W80">
        <f t="shared" si="23"/>
        <v>0.51984924738872706</v>
      </c>
      <c r="X80">
        <f t="shared" si="31"/>
        <v>5.5936539371651763</v>
      </c>
      <c r="Y80">
        <f t="shared" si="32"/>
        <v>-2.3653692641833146</v>
      </c>
      <c r="Z80">
        <f t="shared" si="24"/>
        <v>2.2272531337751102</v>
      </c>
      <c r="AA80">
        <f t="shared" si="25"/>
        <v>3.1190954843323624</v>
      </c>
    </row>
    <row r="81" spans="8:27" x14ac:dyDescent="0.25">
      <c r="H81" s="15">
        <f t="shared" si="26"/>
        <v>0.75000000000000044</v>
      </c>
      <c r="I81" s="9">
        <f t="shared" si="19"/>
        <v>40.590024544656636</v>
      </c>
      <c r="J81">
        <f t="shared" si="33"/>
        <v>40.766010070717904</v>
      </c>
      <c r="K81">
        <f t="shared" si="18"/>
        <v>49.535356595305103</v>
      </c>
      <c r="M81" s="15">
        <f t="shared" si="27"/>
        <v>0.75000000000000044</v>
      </c>
      <c r="N81">
        <f t="shared" si="34"/>
        <v>2.09877395810746</v>
      </c>
      <c r="O81">
        <f t="shared" si="20"/>
        <v>0.88668633819839249</v>
      </c>
      <c r="P81">
        <f t="shared" si="28"/>
        <v>-0.43259725146982131</v>
      </c>
      <c r="Q81">
        <f t="shared" si="29"/>
        <v>-0.51560123588596518</v>
      </c>
      <c r="R81">
        <f t="shared" si="21"/>
        <v>-11.956678048932247</v>
      </c>
      <c r="S81">
        <f t="shared" si="22"/>
        <v>0.39476959331118122</v>
      </c>
      <c r="U81" s="15">
        <f t="shared" si="30"/>
        <v>0.75000000000000044</v>
      </c>
      <c r="V81">
        <f t="shared" si="35"/>
        <v>19.502423283949025</v>
      </c>
      <c r="W81">
        <f t="shared" si="23"/>
        <v>0.49757671605097542</v>
      </c>
      <c r="X81">
        <f t="shared" si="31"/>
        <v>5.5987410669823747</v>
      </c>
      <c r="Y81">
        <f t="shared" si="32"/>
        <v>-2.2272531337751644</v>
      </c>
      <c r="Z81">
        <f t="shared" si="24"/>
        <v>2.09877395810746</v>
      </c>
      <c r="AA81">
        <f t="shared" si="25"/>
        <v>2.9854602963058525</v>
      </c>
    </row>
    <row r="82" spans="8:27" x14ac:dyDescent="0.25">
      <c r="H82" s="15">
        <f t="shared" si="26"/>
        <v>0.76000000000000045</v>
      </c>
      <c r="I82" s="9">
        <f t="shared" si="19"/>
        <v>40.797268798135086</v>
      </c>
      <c r="J82">
        <f t="shared" si="33"/>
        <v>40.971651353965633</v>
      </c>
      <c r="K82">
        <f t="shared" si="18"/>
        <v>49.545704220408204</v>
      </c>
      <c r="M82" s="15">
        <f t="shared" si="27"/>
        <v>0.76000000000000045</v>
      </c>
      <c r="N82">
        <f t="shared" si="34"/>
        <v>1.9792071776181375</v>
      </c>
      <c r="O82">
        <f t="shared" si="20"/>
        <v>0.88032668120127355</v>
      </c>
      <c r="P82">
        <f t="shared" si="28"/>
        <v>-0.42376218637282298</v>
      </c>
      <c r="Q82">
        <f t="shared" si="29"/>
        <v>-0.63596569971189343</v>
      </c>
      <c r="R82">
        <f t="shared" si="21"/>
        <v>-11.132307389106781</v>
      </c>
      <c r="S82">
        <f t="shared" si="22"/>
        <v>0.36451722645868689</v>
      </c>
      <c r="U82" s="15">
        <f t="shared" si="30"/>
        <v>0.76000000000000045</v>
      </c>
      <c r="V82">
        <f t="shared" si="35"/>
        <v>19.523411023530098</v>
      </c>
      <c r="W82">
        <f t="shared" si="23"/>
        <v>0.47658897646990184</v>
      </c>
      <c r="X82">
        <f t="shared" si="31"/>
        <v>5.6036118954449794</v>
      </c>
      <c r="Y82">
        <f t="shared" si="32"/>
        <v>-2.0987739581073583</v>
      </c>
      <c r="Z82">
        <f t="shared" si="24"/>
        <v>1.9792071776181375</v>
      </c>
      <c r="AA82">
        <f t="shared" si="25"/>
        <v>2.859533858819411</v>
      </c>
    </row>
    <row r="83" spans="8:27" x14ac:dyDescent="0.25">
      <c r="H83" s="15">
        <f t="shared" si="26"/>
        <v>0.77000000000000046</v>
      </c>
      <c r="I83" s="9">
        <f t="shared" si="19"/>
        <v>40.999948727210807</v>
      </c>
      <c r="J83">
        <f t="shared" si="33"/>
        <v>41.172712998541492</v>
      </c>
      <c r="K83">
        <f t="shared" si="18"/>
        <v>49.555821403533237</v>
      </c>
      <c r="M83" s="15">
        <f t="shared" si="27"/>
        <v>0.77000000000000046</v>
      </c>
      <c r="N83">
        <f t="shared" si="34"/>
        <v>1.8678841037270697</v>
      </c>
      <c r="O83">
        <f t="shared" si="20"/>
        <v>0.87289732443525914</v>
      </c>
      <c r="P83">
        <f t="shared" si="28"/>
        <v>-0.41499606634464031</v>
      </c>
      <c r="Q83">
        <f t="shared" si="29"/>
        <v>-0.74293567660144166</v>
      </c>
      <c r="R83">
        <f t="shared" si="21"/>
        <v>-10.369651563636904</v>
      </c>
      <c r="S83">
        <f t="shared" si="22"/>
        <v>0.33661503961869754</v>
      </c>
      <c r="U83" s="15">
        <f t="shared" si="30"/>
        <v>0.77000000000000046</v>
      </c>
      <c r="V83">
        <f t="shared" si="35"/>
        <v>19.543203095306279</v>
      </c>
      <c r="W83">
        <f t="shared" si="23"/>
        <v>0.45679690469372147</v>
      </c>
      <c r="X83">
        <f t="shared" si="31"/>
        <v>5.6082788248507978</v>
      </c>
      <c r="Y83">
        <f t="shared" si="32"/>
        <v>-1.9792071776180364</v>
      </c>
      <c r="Z83">
        <f t="shared" si="24"/>
        <v>1.8678841037270697</v>
      </c>
      <c r="AA83">
        <f t="shared" si="25"/>
        <v>2.7407814281623288</v>
      </c>
    </row>
    <row r="84" spans="8:27" x14ac:dyDescent="0.25">
      <c r="H84" s="15">
        <f t="shared" si="26"/>
        <v>0.78000000000000047</v>
      </c>
      <c r="I84" s="9">
        <f t="shared" si="19"/>
        <v>41.198164856057112</v>
      </c>
      <c r="J84">
        <f t="shared" si="33"/>
        <v>41.369296993161143</v>
      </c>
      <c r="K84">
        <f t="shared" si="18"/>
        <v>49.565713276631229</v>
      </c>
      <c r="M84" s="15">
        <f t="shared" si="27"/>
        <v>0.78000000000000047</v>
      </c>
      <c r="N84">
        <f t="shared" si="34"/>
        <v>1.7641875880907008</v>
      </c>
      <c r="O84">
        <f t="shared" si="20"/>
        <v>0.86452079384799996</v>
      </c>
      <c r="P84">
        <f t="shared" si="28"/>
        <v>-0.406308975753224</v>
      </c>
      <c r="Q84">
        <f t="shared" si="29"/>
        <v>-0.83765305872591789</v>
      </c>
      <c r="R84">
        <f t="shared" si="21"/>
        <v>-9.6639563059006033</v>
      </c>
      <c r="S84">
        <f t="shared" si="22"/>
        <v>0.31087982165737937</v>
      </c>
      <c r="U84" s="15">
        <f t="shared" si="30"/>
        <v>0.78000000000000047</v>
      </c>
      <c r="V84">
        <f t="shared" si="35"/>
        <v>19.56188193634355</v>
      </c>
      <c r="W84">
        <f t="shared" si="23"/>
        <v>0.43811806365645012</v>
      </c>
      <c r="X84">
        <f t="shared" si="31"/>
        <v>5.6127533996925489</v>
      </c>
      <c r="Y84">
        <f t="shared" si="32"/>
        <v>-1.8678841037271354</v>
      </c>
      <c r="Z84">
        <f t="shared" si="24"/>
        <v>1.7641875880907008</v>
      </c>
      <c r="AA84">
        <f t="shared" si="25"/>
        <v>2.6287083819387007</v>
      </c>
    </row>
    <row r="85" spans="8:27" x14ac:dyDescent="0.25">
      <c r="H85" s="15">
        <f t="shared" si="26"/>
        <v>0.79000000000000048</v>
      </c>
      <c r="I85" s="9">
        <f t="shared" si="19"/>
        <v>41.392015494914084</v>
      </c>
      <c r="J85">
        <f t="shared" si="33"/>
        <v>41.561503055247933</v>
      </c>
      <c r="K85">
        <f t="shared" ref="K85:K148" si="36">K84+$E$8*DEGREES($E$6*$C$5*$C$6^2*$E$5/(4*$C$7)*$C$8*RADIANS(K84) +$E$6*$C$5*$C$6*$E$5^2/(2*$C$7)*$C$9*$C$18)</f>
        <v>49.575384857364469</v>
      </c>
      <c r="M85" s="15">
        <f t="shared" si="27"/>
        <v>0.79000000000000048</v>
      </c>
      <c r="N85">
        <f t="shared" si="34"/>
        <v>1.6675480250316947</v>
      </c>
      <c r="O85">
        <f t="shared" si="20"/>
        <v>0.85530910162155505</v>
      </c>
      <c r="P85">
        <f t="shared" si="28"/>
        <v>-0.3977098262758762</v>
      </c>
      <c r="Q85">
        <f t="shared" si="29"/>
        <v>-0.92116922264449119</v>
      </c>
      <c r="R85">
        <f t="shared" si="21"/>
        <v>-9.0108362752463815</v>
      </c>
      <c r="S85">
        <f t="shared" si="22"/>
        <v>0.28714262036271587</v>
      </c>
      <c r="U85" s="15">
        <f t="shared" si="30"/>
        <v>0.79000000000000048</v>
      </c>
      <c r="V85">
        <f t="shared" si="35"/>
        <v>19.579523812224458</v>
      </c>
      <c r="W85">
        <f t="shared" si="23"/>
        <v>0.42047618777554163</v>
      </c>
      <c r="X85">
        <f t="shared" si="31"/>
        <v>5.6170463709497085</v>
      </c>
      <c r="Y85">
        <f t="shared" si="32"/>
        <v>-1.7641875880908486</v>
      </c>
      <c r="Z85">
        <f t="shared" si="24"/>
        <v>1.6675480250316947</v>
      </c>
      <c r="AA85">
        <f t="shared" si="25"/>
        <v>2.5228571266532498</v>
      </c>
    </row>
    <row r="86" spans="8:27" x14ac:dyDescent="0.25">
      <c r="H86" s="15">
        <f t="shared" si="26"/>
        <v>0.80000000000000049</v>
      </c>
      <c r="I86" s="9">
        <f t="shared" si="19"/>
        <v>41.581596788848024</v>
      </c>
      <c r="J86">
        <f t="shared" si="33"/>
        <v>41.749428681514644</v>
      </c>
      <c r="K86">
        <f t="shared" si="36"/>
        <v>49.584841051651736</v>
      </c>
      <c r="M86" s="15">
        <f t="shared" si="27"/>
        <v>0.80000000000000049</v>
      </c>
      <c r="N86">
        <f t="shared" si="34"/>
        <v>1.577439662279231</v>
      </c>
      <c r="O86">
        <f t="shared" si="20"/>
        <v>0.84536458287211635</v>
      </c>
      <c r="P86">
        <f t="shared" si="28"/>
        <v>-0.38920645785340785</v>
      </c>
      <c r="Q86">
        <f t="shared" si="29"/>
        <v>-0.99445187494386911</v>
      </c>
      <c r="R86">
        <f t="shared" si="21"/>
        <v>-8.406246545044473</v>
      </c>
      <c r="S86">
        <f t="shared" si="22"/>
        <v>0.26524764227224518</v>
      </c>
      <c r="U86" s="15">
        <f t="shared" si="30"/>
        <v>0.80000000000000049</v>
      </c>
      <c r="V86">
        <f t="shared" si="35"/>
        <v>19.596199292474775</v>
      </c>
      <c r="W86">
        <f t="shared" si="23"/>
        <v>0.40380070752522457</v>
      </c>
      <c r="X86">
        <f t="shared" si="31"/>
        <v>5.6211677554262121</v>
      </c>
      <c r="Y86">
        <f t="shared" si="32"/>
        <v>-1.6675480250317065</v>
      </c>
      <c r="Z86">
        <f t="shared" si="24"/>
        <v>1.577439662279231</v>
      </c>
      <c r="AA86">
        <f t="shared" si="25"/>
        <v>2.4228042451513474</v>
      </c>
    </row>
    <row r="87" spans="8:27" x14ac:dyDescent="0.25">
      <c r="H87" s="15">
        <f t="shared" si="26"/>
        <v>0.8100000000000005</v>
      </c>
      <c r="I87" s="9">
        <f t="shared" si="19"/>
        <v>41.767002765436949</v>
      </c>
      <c r="J87">
        <f t="shared" si="33"/>
        <v>41.93316919741882</v>
      </c>
      <c r="K87">
        <f t="shared" si="36"/>
        <v>49.594086656156826</v>
      </c>
      <c r="M87" s="15">
        <f t="shared" si="27"/>
        <v>0.8100000000000005</v>
      </c>
      <c r="N87">
        <f t="shared" si="34"/>
        <v>1.4933771968287863</v>
      </c>
      <c r="O87">
        <f t="shared" si="20"/>
        <v>0.83478066858580968</v>
      </c>
      <c r="P87">
        <f t="shared" si="28"/>
        <v>-0.38080573159611825</v>
      </c>
      <c r="Q87">
        <f t="shared" si="29"/>
        <v>-1.0583914286306673</v>
      </c>
      <c r="R87">
        <f t="shared" si="21"/>
        <v>-7.8464562494013874</v>
      </c>
      <c r="S87">
        <f t="shared" si="22"/>
        <v>0.24505123509527849</v>
      </c>
      <c r="U87" s="15">
        <f t="shared" si="30"/>
        <v>0.8100000000000005</v>
      </c>
      <c r="V87">
        <f t="shared" si="35"/>
        <v>19.611973689097567</v>
      </c>
      <c r="W87">
        <f t="shared" si="23"/>
        <v>0.38802631090243267</v>
      </c>
      <c r="X87">
        <f t="shared" si="31"/>
        <v>5.6251268905183505</v>
      </c>
      <c r="Y87">
        <f t="shared" si="32"/>
        <v>-1.5774396622791897</v>
      </c>
      <c r="Z87">
        <f t="shared" si="24"/>
        <v>1.4933771968287863</v>
      </c>
      <c r="AA87">
        <f t="shared" si="25"/>
        <v>2.328157865414596</v>
      </c>
    </row>
    <row r="88" spans="8:27" x14ac:dyDescent="0.25">
      <c r="H88" s="15">
        <f t="shared" si="26"/>
        <v>0.82000000000000051</v>
      </c>
      <c r="I88" s="9">
        <f t="shared" si="19"/>
        <v>41.948325381405965</v>
      </c>
      <c r="J88">
        <f t="shared" si="33"/>
        <v>42.11281780551667</v>
      </c>
      <c r="K88">
        <f t="shared" si="36"/>
        <v>49.603126360721653</v>
      </c>
      <c r="M88" s="15">
        <f t="shared" si="27"/>
        <v>0.82000000000000051</v>
      </c>
      <c r="N88">
        <f t="shared" si="34"/>
        <v>1.4149126343347724</v>
      </c>
      <c r="O88">
        <f t="shared" si="20"/>
        <v>0.82364259927009797</v>
      </c>
      <c r="P88">
        <f t="shared" si="28"/>
        <v>-0.37251361525683868</v>
      </c>
      <c r="Q88">
        <f t="shared" si="29"/>
        <v>-1.1138069315711707</v>
      </c>
      <c r="R88">
        <f t="shared" si="21"/>
        <v>-7.3280242358662653</v>
      </c>
      <c r="S88">
        <f t="shared" si="22"/>
        <v>0.22642094705970917</v>
      </c>
      <c r="U88" s="15">
        <f t="shared" si="30"/>
        <v>0.82000000000000051</v>
      </c>
      <c r="V88">
        <f t="shared" si="35"/>
        <v>19.626907461065855</v>
      </c>
      <c r="W88">
        <f t="shared" si="23"/>
        <v>0.37309253893414507</v>
      </c>
      <c r="X88">
        <f t="shared" si="31"/>
        <v>5.6289324847675335</v>
      </c>
      <c r="Y88">
        <f t="shared" si="32"/>
        <v>-1.4933771968287601</v>
      </c>
      <c r="Z88">
        <f t="shared" si="24"/>
        <v>1.4149126343347724</v>
      </c>
      <c r="AA88">
        <f t="shared" si="25"/>
        <v>2.2385552336048704</v>
      </c>
    </row>
    <row r="89" spans="8:27" x14ac:dyDescent="0.25">
      <c r="H89" s="15">
        <f t="shared" si="26"/>
        <v>0.83000000000000052</v>
      </c>
      <c r="I89" s="9">
        <f t="shared" si="19"/>
        <v>42.12565456823549</v>
      </c>
      <c r="J89">
        <f t="shared" si="33"/>
        <v>42.288465632740184</v>
      </c>
      <c r="K89">
        <f t="shared" si="36"/>
        <v>49.611964750745187</v>
      </c>
      <c r="M89" s="15">
        <f t="shared" si="27"/>
        <v>0.83000000000000052</v>
      </c>
      <c r="N89">
        <f t="shared" si="34"/>
        <v>1.3416323919761097</v>
      </c>
      <c r="O89">
        <f t="shared" si="20"/>
        <v>0.81202808356867284</v>
      </c>
      <c r="P89">
        <f t="shared" si="28"/>
        <v>-0.36433526184264481</v>
      </c>
      <c r="Q89">
        <f t="shared" si="29"/>
        <v>-1.1614515701425132</v>
      </c>
      <c r="R89">
        <f t="shared" si="21"/>
        <v>-6.8477765797237264</v>
      </c>
      <c r="S89">
        <f t="shared" si="22"/>
        <v>0.20923465777730343</v>
      </c>
      <c r="U89" s="15">
        <f t="shared" si="30"/>
        <v>0.83000000000000052</v>
      </c>
      <c r="V89">
        <f t="shared" si="35"/>
        <v>19.641056587409203</v>
      </c>
      <c r="W89">
        <f t="shared" si="23"/>
        <v>0.3589434125907971</v>
      </c>
      <c r="X89">
        <f t="shared" si="31"/>
        <v>5.6325926645251583</v>
      </c>
      <c r="Y89">
        <f t="shared" si="32"/>
        <v>-1.4149126343347973</v>
      </c>
      <c r="Z89">
        <f t="shared" si="24"/>
        <v>1.3416323919761097</v>
      </c>
      <c r="AA89">
        <f t="shared" si="25"/>
        <v>2.1536604755447826</v>
      </c>
    </row>
    <row r="90" spans="8:27" x14ac:dyDescent="0.25">
      <c r="H90" s="15">
        <f t="shared" si="26"/>
        <v>0.84000000000000052</v>
      </c>
      <c r="I90" s="9">
        <f t="shared" si="19"/>
        <v>42.299078276765016</v>
      </c>
      <c r="J90">
        <f t="shared" si="33"/>
        <v>42.460201776621332</v>
      </c>
      <c r="K90">
        <f t="shared" si="36"/>
        <v>49.620606309509405</v>
      </c>
      <c r="M90" s="15">
        <f t="shared" si="27"/>
        <v>0.84000000000000052</v>
      </c>
      <c r="N90">
        <f t="shared" si="34"/>
        <v>1.2731546261788724</v>
      </c>
      <c r="O90">
        <f t="shared" si="20"/>
        <v>0.80000790584735149</v>
      </c>
      <c r="P90">
        <f t="shared" si="28"/>
        <v>-0.35627508189556467</v>
      </c>
      <c r="Q90">
        <f t="shared" si="29"/>
        <v>-1.2020177721321357</v>
      </c>
      <c r="R90">
        <f t="shared" si="21"/>
        <v>-6.4027858239060942</v>
      </c>
      <c r="S90">
        <f t="shared" si="22"/>
        <v>0.19337977550444174</v>
      </c>
      <c r="U90" s="15">
        <f t="shared" si="30"/>
        <v>0.84000000000000052</v>
      </c>
      <c r="V90">
        <f t="shared" si="35"/>
        <v>19.654472911328963</v>
      </c>
      <c r="W90">
        <f t="shared" si="23"/>
        <v>0.34552708867103732</v>
      </c>
      <c r="X90">
        <f t="shared" si="31"/>
        <v>5.6361150170314671</v>
      </c>
      <c r="Y90">
        <f t="shared" si="32"/>
        <v>-1.3416323919759776</v>
      </c>
      <c r="Z90">
        <f t="shared" si="24"/>
        <v>1.2731546261788724</v>
      </c>
      <c r="AA90">
        <f t="shared" si="25"/>
        <v>2.0731625320262239</v>
      </c>
    </row>
    <row r="91" spans="8:27" x14ac:dyDescent="0.25">
      <c r="H91" s="15">
        <f t="shared" si="26"/>
        <v>0.85000000000000053</v>
      </c>
      <c r="I91" s="9">
        <f t="shared" si="19"/>
        <v>42.468682520814504</v>
      </c>
      <c r="J91">
        <f t="shared" si="33"/>
        <v>42.628113350486899</v>
      </c>
      <c r="K91">
        <f t="shared" si="36"/>
        <v>49.62905542045344</v>
      </c>
      <c r="M91" s="15">
        <f t="shared" si="27"/>
        <v>0.85000000000000053</v>
      </c>
      <c r="N91">
        <f t="shared" si="34"/>
        <v>1.2091267679398114</v>
      </c>
      <c r="O91">
        <f t="shared" si="20"/>
        <v>0.78764648651567204</v>
      </c>
      <c r="P91">
        <f t="shared" si="28"/>
        <v>-0.34833680993374955</v>
      </c>
      <c r="Q91">
        <f t="shared" si="29"/>
        <v>-1.2361419331679446</v>
      </c>
      <c r="R91">
        <f t="shared" si="21"/>
        <v>-5.9903518170058438</v>
      </c>
      <c r="S91">
        <f t="shared" si="22"/>
        <v>0.17875249596908316</v>
      </c>
      <c r="U91" s="15">
        <f t="shared" si="30"/>
        <v>0.85000000000000053</v>
      </c>
      <c r="V91">
        <f t="shared" si="35"/>
        <v>19.667204457590753</v>
      </c>
      <c r="W91">
        <f t="shared" si="23"/>
        <v>0.33279554240924725</v>
      </c>
      <c r="X91">
        <f t="shared" si="31"/>
        <v>5.6395066301868688</v>
      </c>
      <c r="Y91">
        <f t="shared" si="32"/>
        <v>-1.2731546261790072</v>
      </c>
      <c r="Z91">
        <f t="shared" si="24"/>
        <v>1.2091267679398114</v>
      </c>
      <c r="AA91">
        <f t="shared" si="25"/>
        <v>1.9967732544554835</v>
      </c>
    </row>
    <row r="92" spans="8:27" x14ac:dyDescent="0.25">
      <c r="H92" s="15">
        <f t="shared" si="26"/>
        <v>0.86000000000000054</v>
      </c>
      <c r="I92" s="9">
        <f t="shared" si="19"/>
        <v>42.634551419845124</v>
      </c>
      <c r="J92">
        <f t="shared" si="33"/>
        <v>42.792285527646783</v>
      </c>
      <c r="K92">
        <f t="shared" si="36"/>
        <v>49.637316369397062</v>
      </c>
      <c r="M92" s="15">
        <f t="shared" si="27"/>
        <v>0.86000000000000054</v>
      </c>
      <c r="N92">
        <f t="shared" si="34"/>
        <v>1.149223249769753</v>
      </c>
      <c r="O92">
        <f t="shared" si="20"/>
        <v>0.7750023986093395</v>
      </c>
      <c r="P92">
        <f t="shared" si="28"/>
        <v>-0.34052356550812451</v>
      </c>
      <c r="Q92">
        <f t="shared" si="29"/>
        <v>-1.2644087906332535</v>
      </c>
      <c r="R92">
        <f t="shared" si="21"/>
        <v>-5.607984030124503</v>
      </c>
      <c r="S92">
        <f t="shared" si="22"/>
        <v>0.16525711822827605</v>
      </c>
      <c r="U92" s="15">
        <f t="shared" si="30"/>
        <v>0.86000000000000054</v>
      </c>
      <c r="V92">
        <f t="shared" si="35"/>
        <v>19.679295725270151</v>
      </c>
      <c r="W92">
        <f t="shared" si="23"/>
        <v>0.32070427472984875</v>
      </c>
      <c r="X92">
        <f t="shared" si="31"/>
        <v>5.6427741292725644</v>
      </c>
      <c r="Y92">
        <f t="shared" si="32"/>
        <v>-1.2091267679398499</v>
      </c>
      <c r="Z92">
        <f t="shared" si="24"/>
        <v>1.149223249769753</v>
      </c>
      <c r="AA92">
        <f t="shared" si="25"/>
        <v>1.9242256483790925</v>
      </c>
    </row>
    <row r="93" spans="8:27" x14ac:dyDescent="0.25">
      <c r="H93" s="15">
        <f t="shared" si="26"/>
        <v>0.87000000000000055</v>
      </c>
      <c r="I93" s="9">
        <f t="shared" si="19"/>
        <v>42.796767240680367</v>
      </c>
      <c r="J93">
        <f t="shared" si="33"/>
        <v>42.952801584598255</v>
      </c>
      <c r="K93">
        <f t="shared" si="36"/>
        <v>49.645393346714705</v>
      </c>
      <c r="M93" s="15">
        <f t="shared" si="27"/>
        <v>0.87000000000000055</v>
      </c>
      <c r="N93">
        <f t="shared" si="34"/>
        <v>1.093143409468508</v>
      </c>
      <c r="O93">
        <f t="shared" si="20"/>
        <v>0.76212884392439628</v>
      </c>
      <c r="P93">
        <f t="shared" si="28"/>
        <v>-0.33283790929545581</v>
      </c>
      <c r="Q93">
        <f t="shared" si="29"/>
        <v>-1.2873554684943223</v>
      </c>
      <c r="R93">
        <f t="shared" si="21"/>
        <v>-5.2533852413534454</v>
      </c>
      <c r="S93">
        <f t="shared" si="22"/>
        <v>0.15280541331342978</v>
      </c>
      <c r="U93" s="15">
        <f t="shared" si="30"/>
        <v>0.87000000000000055</v>
      </c>
      <c r="V93">
        <f t="shared" si="35"/>
        <v>19.690787957767849</v>
      </c>
      <c r="W93">
        <f t="shared" si="23"/>
        <v>0.30921204223215071</v>
      </c>
      <c r="X93">
        <f t="shared" si="31"/>
        <v>5.6459237108573745</v>
      </c>
      <c r="Y93">
        <f t="shared" si="32"/>
        <v>-1.1492232497698041</v>
      </c>
      <c r="Z93">
        <f t="shared" si="24"/>
        <v>1.093143409468508</v>
      </c>
      <c r="AA93">
        <f t="shared" si="25"/>
        <v>1.8552722533929042</v>
      </c>
    </row>
    <row r="94" spans="8:27" x14ac:dyDescent="0.25">
      <c r="H94" s="15">
        <f t="shared" si="26"/>
        <v>0.88000000000000056</v>
      </c>
      <c r="I94" s="9">
        <f t="shared" si="19"/>
        <v>42.955410438308377</v>
      </c>
      <c r="J94">
        <f t="shared" si="33"/>
        <v>43.109742943268031</v>
      </c>
      <c r="K94">
        <f t="shared" si="36"/>
        <v>49.653290449460997</v>
      </c>
      <c r="M94" s="15">
        <f t="shared" si="27"/>
        <v>0.88000000000000056</v>
      </c>
      <c r="N94">
        <f t="shared" si="34"/>
        <v>1.0406095570549736</v>
      </c>
      <c r="O94">
        <f t="shared" si="20"/>
        <v>0.74907409176981066</v>
      </c>
      <c r="P94">
        <f t="shared" si="28"/>
        <v>-0.32528189461698476</v>
      </c>
      <c r="Q94">
        <f t="shared" si="29"/>
        <v>-1.3054752154585625</v>
      </c>
      <c r="R94">
        <f t="shared" si="21"/>
        <v>-4.9244364843115322</v>
      </c>
      <c r="S94">
        <f t="shared" si="22"/>
        <v>0.14131604169988821</v>
      </c>
      <c r="U94" s="15">
        <f t="shared" si="30"/>
        <v>0.88000000000000056</v>
      </c>
      <c r="V94">
        <f t="shared" si="35"/>
        <v>19.701719391862536</v>
      </c>
      <c r="W94">
        <f t="shared" si="23"/>
        <v>0.29828060813746404</v>
      </c>
      <c r="X94">
        <f t="shared" si="31"/>
        <v>5.6489611741092229</v>
      </c>
      <c r="Y94">
        <f t="shared" si="32"/>
        <v>-1.0931434094686665</v>
      </c>
      <c r="Z94">
        <f t="shared" si="24"/>
        <v>1.0406095570549736</v>
      </c>
      <c r="AA94">
        <f t="shared" si="25"/>
        <v>1.7896836488247843</v>
      </c>
    </row>
    <row r="95" spans="8:27" x14ac:dyDescent="0.25">
      <c r="H95" s="15">
        <f t="shared" si="26"/>
        <v>0.89000000000000057</v>
      </c>
      <c r="I95" s="9">
        <f t="shared" si="19"/>
        <v>43.110559695785533</v>
      </c>
      <c r="J95">
        <f t="shared" si="33"/>
        <v>43.263189212313641</v>
      </c>
      <c r="K95">
        <f t="shared" si="36"/>
        <v>49.661011683449026</v>
      </c>
      <c r="M95" s="15">
        <f t="shared" si="27"/>
        <v>0.89000000000000057</v>
      </c>
      <c r="N95">
        <f t="shared" si="34"/>
        <v>0.99136519221185826</v>
      </c>
      <c r="O95">
        <f t="shared" si="20"/>
        <v>0.73588188318963499</v>
      </c>
      <c r="P95">
        <f t="shared" si="28"/>
        <v>-0.31785711474218753</v>
      </c>
      <c r="Q95">
        <f t="shared" si="29"/>
        <v>-1.3192208580175668</v>
      </c>
      <c r="R95">
        <f t="shared" si="21"/>
        <v>-4.6191831645351638</v>
      </c>
      <c r="S95">
        <f t="shared" si="22"/>
        <v>0.1307140159118434</v>
      </c>
      <c r="U95" s="15">
        <f t="shared" si="30"/>
        <v>0.89000000000000057</v>
      </c>
      <c r="V95">
        <f t="shared" si="35"/>
        <v>19.712125487433084</v>
      </c>
      <c r="W95">
        <f t="shared" si="23"/>
        <v>0.28787451256691554</v>
      </c>
      <c r="X95">
        <f t="shared" si="31"/>
        <v>5.6518919497127449</v>
      </c>
      <c r="Y95">
        <f t="shared" si="32"/>
        <v>-1.0406095570548501</v>
      </c>
      <c r="Z95">
        <f t="shared" si="24"/>
        <v>0.99136519221185826</v>
      </c>
      <c r="AA95">
        <f t="shared" si="25"/>
        <v>1.7272470754014932</v>
      </c>
    </row>
    <row r="96" spans="8:27" x14ac:dyDescent="0.25">
      <c r="H96" s="15">
        <f t="shared" si="26"/>
        <v>0.90000000000000058</v>
      </c>
      <c r="I96" s="9">
        <f t="shared" si="19"/>
        <v>43.262291963261376</v>
      </c>
      <c r="J96">
        <f t="shared" si="33"/>
        <v>43.413218227504984</v>
      </c>
      <c r="K96">
        <f t="shared" si="36"/>
        <v>49.668560965282275</v>
      </c>
      <c r="M96" s="15">
        <f t="shared" si="27"/>
        <v>0.90000000000000058</v>
      </c>
      <c r="N96">
        <f t="shared" si="34"/>
        <v>0.94517336056650658</v>
      </c>
      <c r="O96">
        <f t="shared" si="20"/>
        <v>0.72259180330227257</v>
      </c>
      <c r="P96">
        <f t="shared" si="28"/>
        <v>-0.31056474630972797</v>
      </c>
      <c r="Q96">
        <f t="shared" si="29"/>
        <v>-1.3290079887362416</v>
      </c>
      <c r="R96">
        <f t="shared" si="21"/>
        <v>-4.3358222544151355</v>
      </c>
      <c r="S96">
        <f t="shared" si="22"/>
        <v>0.12093020483145722</v>
      </c>
      <c r="U96" s="15">
        <f t="shared" si="30"/>
        <v>0.90000000000000058</v>
      </c>
      <c r="V96">
        <f t="shared" si="35"/>
        <v>19.722039139355203</v>
      </c>
      <c r="W96">
        <f t="shared" si="23"/>
        <v>0.27796086064479653</v>
      </c>
      <c r="X96">
        <f t="shared" si="31"/>
        <v>5.6547211265788038</v>
      </c>
      <c r="Y96">
        <f t="shared" si="32"/>
        <v>-0.99136519221190156</v>
      </c>
      <c r="Z96">
        <f t="shared" si="24"/>
        <v>0.94517336056650658</v>
      </c>
      <c r="AA96">
        <f t="shared" si="25"/>
        <v>1.6677651638687792</v>
      </c>
    </row>
    <row r="97" spans="8:27" x14ac:dyDescent="0.25">
      <c r="H97" s="15">
        <f t="shared" si="26"/>
        <v>0.91000000000000059</v>
      </c>
      <c r="I97" s="9">
        <f t="shared" si="19"/>
        <v>43.41068249614387</v>
      </c>
      <c r="J97">
        <f t="shared" si="33"/>
        <v>43.559906091206599</v>
      </c>
      <c r="K97">
        <f t="shared" si="36"/>
        <v>49.675942124341333</v>
      </c>
      <c r="M97" s="15">
        <f t="shared" si="27"/>
        <v>0.91000000000000059</v>
      </c>
      <c r="N97">
        <f t="shared" si="34"/>
        <v>0.90181513802235524</v>
      </c>
      <c r="O97">
        <f t="shared" si="20"/>
        <v>0.70923962421243136</v>
      </c>
      <c r="P97">
        <f t="shared" si="28"/>
        <v>-0.30340558917215443</v>
      </c>
      <c r="Q97">
        <f t="shared" si="29"/>
        <v>-1.335217908984121</v>
      </c>
      <c r="R97">
        <f t="shared" si="21"/>
        <v>-4.0726904838776559</v>
      </c>
      <c r="S97">
        <f t="shared" si="22"/>
        <v>0.11190087652575054</v>
      </c>
      <c r="U97" s="15">
        <f t="shared" si="30"/>
        <v>0.91000000000000059</v>
      </c>
      <c r="V97">
        <f t="shared" si="35"/>
        <v>19.731490872960869</v>
      </c>
      <c r="W97">
        <f t="shared" si="23"/>
        <v>0.2685091270391311</v>
      </c>
      <c r="X97">
        <f t="shared" si="31"/>
        <v>5.6574534765172233</v>
      </c>
      <c r="Y97">
        <f t="shared" si="32"/>
        <v>-0.94517336056654244</v>
      </c>
      <c r="Z97">
        <f t="shared" si="24"/>
        <v>0.90181513802235524</v>
      </c>
      <c r="AA97">
        <f t="shared" si="25"/>
        <v>1.6110547622347866</v>
      </c>
    </row>
    <row r="98" spans="8:27" x14ac:dyDescent="0.25">
      <c r="H98" s="15">
        <f t="shared" si="26"/>
        <v>0.9200000000000006</v>
      </c>
      <c r="I98" s="9">
        <f t="shared" si="19"/>
        <v>43.555804892424263</v>
      </c>
      <c r="J98">
        <f t="shared" si="33"/>
        <v>43.703327210980675</v>
      </c>
      <c r="K98">
        <f t="shared" si="36"/>
        <v>49.683158904726341</v>
      </c>
      <c r="M98" s="15">
        <f t="shared" si="27"/>
        <v>0.9200000000000006</v>
      </c>
      <c r="N98">
        <f t="shared" si="34"/>
        <v>0.86108823318357874</v>
      </c>
      <c r="O98">
        <f t="shared" si="20"/>
        <v>0.69585762076985791</v>
      </c>
      <c r="P98">
        <f t="shared" si="28"/>
        <v>-0.29638010294724298</v>
      </c>
      <c r="Q98">
        <f t="shared" si="29"/>
        <v>-1.3382003442573454</v>
      </c>
      <c r="R98">
        <f t="shared" si="21"/>
        <v>-3.8282534501723955</v>
      </c>
      <c r="S98">
        <f t="shared" si="22"/>
        <v>0.10356727663907261</v>
      </c>
      <c r="U98" s="15">
        <f t="shared" si="30"/>
        <v>0.9200000000000006</v>
      </c>
      <c r="V98">
        <f t="shared" si="35"/>
        <v>19.740509024341094</v>
      </c>
      <c r="W98">
        <f t="shared" si="23"/>
        <v>0.25949097565890611</v>
      </c>
      <c r="X98">
        <f t="shared" si="31"/>
        <v>5.6600934770307134</v>
      </c>
      <c r="Y98">
        <f t="shared" si="32"/>
        <v>-0.90181513802249924</v>
      </c>
      <c r="Z98">
        <f t="shared" si="24"/>
        <v>0.86108823318357874</v>
      </c>
      <c r="AA98">
        <f t="shared" si="25"/>
        <v>1.5569458539534367</v>
      </c>
    </row>
    <row r="99" spans="8:27" x14ac:dyDescent="0.25">
      <c r="H99" s="15">
        <f t="shared" si="26"/>
        <v>0.9300000000000006</v>
      </c>
      <c r="I99" s="9">
        <f t="shared" si="19"/>
        <v>43.697731129179815</v>
      </c>
      <c r="J99">
        <f t="shared" si="33"/>
        <v>43.843554337330339</v>
      </c>
      <c r="K99">
        <f t="shared" si="36"/>
        <v>49.690214967156201</v>
      </c>
      <c r="M99" s="15">
        <f t="shared" si="27"/>
        <v>0.9300000000000006</v>
      </c>
      <c r="N99">
        <f t="shared" si="34"/>
        <v>0.82280569868185482</v>
      </c>
      <c r="O99">
        <f t="shared" si="20"/>
        <v>0.68247486128056023</v>
      </c>
      <c r="P99">
        <f t="shared" si="28"/>
        <v>-0.28948844053699091</v>
      </c>
      <c r="Q99">
        <f t="shared" si="29"/>
        <v>-1.338275948929768</v>
      </c>
      <c r="R99">
        <f t="shared" si="21"/>
        <v>-3.6010955757880634</v>
      </c>
      <c r="S99">
        <f t="shared" si="22"/>
        <v>9.5875239613131713E-2</v>
      </c>
      <c r="U99" s="15">
        <f t="shared" si="30"/>
        <v>0.9300000000000006</v>
      </c>
      <c r="V99">
        <f t="shared" si="35"/>
        <v>19.749119906672931</v>
      </c>
      <c r="W99">
        <f t="shared" si="23"/>
        <v>0.25088009332706918</v>
      </c>
      <c r="X99">
        <f t="shared" si="31"/>
        <v>5.6626453323756429</v>
      </c>
      <c r="Y99">
        <f t="shared" si="32"/>
        <v>-0.86108823318369332</v>
      </c>
      <c r="Z99">
        <f t="shared" si="24"/>
        <v>0.82280569868185482</v>
      </c>
      <c r="AA99">
        <f t="shared" si="25"/>
        <v>1.5052805599624151</v>
      </c>
    </row>
    <row r="100" spans="8:27" x14ac:dyDescent="0.25">
      <c r="H100" s="15">
        <f t="shared" si="26"/>
        <v>0.94000000000000061</v>
      </c>
      <c r="I100" s="9">
        <f t="shared" si="19"/>
        <v>43.836531598272636</v>
      </c>
      <c r="J100">
        <f t="shared" si="33"/>
        <v>43.980658600602446</v>
      </c>
      <c r="K100">
        <f t="shared" si="36"/>
        <v>49.69711389082547</v>
      </c>
      <c r="M100" s="15">
        <f t="shared" si="27"/>
        <v>0.94000000000000061</v>
      </c>
      <c r="N100">
        <f t="shared" si="34"/>
        <v>0.78679474292397422</v>
      </c>
      <c r="O100">
        <f t="shared" si="20"/>
        <v>0.66911747511752317</v>
      </c>
      <c r="P100">
        <f t="shared" si="28"/>
        <v>-0.28273047885500047</v>
      </c>
      <c r="Q100">
        <f t="shared" si="29"/>
        <v>-1.3357386163037055</v>
      </c>
      <c r="R100">
        <f t="shared" si="21"/>
        <v>-3.3899108489049374</v>
      </c>
      <c r="S100">
        <f t="shared" si="22"/>
        <v>8.8774830202993038E-2</v>
      </c>
      <c r="U100" s="15">
        <f t="shared" si="30"/>
        <v>0.94000000000000061</v>
      </c>
      <c r="V100">
        <f t="shared" si="35"/>
        <v>19.75734796365975</v>
      </c>
      <c r="W100">
        <f t="shared" si="23"/>
        <v>0.24265203634024957</v>
      </c>
      <c r="X100">
        <f t="shared" si="31"/>
        <v>5.6651129930239792</v>
      </c>
      <c r="Y100">
        <f t="shared" si="32"/>
        <v>-0.82280569868196096</v>
      </c>
      <c r="Z100">
        <f t="shared" si="24"/>
        <v>0.78679474292397422</v>
      </c>
      <c r="AA100">
        <f t="shared" si="25"/>
        <v>1.4559122180414974</v>
      </c>
    </row>
    <row r="101" spans="8:27" x14ac:dyDescent="0.25">
      <c r="H101" s="15">
        <f t="shared" si="26"/>
        <v>0.95000000000000062</v>
      </c>
      <c r="I101" s="9">
        <f t="shared" si="19"/>
        <v>43.97227514126228</v>
      </c>
      <c r="J101">
        <f t="shared" si="33"/>
        <v>44.1147095470685</v>
      </c>
      <c r="K101">
        <f t="shared" si="36"/>
        <v>49.703859175219925</v>
      </c>
      <c r="M101" s="15">
        <f t="shared" si="27"/>
        <v>0.95000000000000062</v>
      </c>
      <c r="N101">
        <f t="shared" si="34"/>
        <v>0.7528956344349248</v>
      </c>
      <c r="O101">
        <f t="shared" si="20"/>
        <v>0.65580889903113249</v>
      </c>
      <c r="P101">
        <f t="shared" si="28"/>
        <v>-0.27610584698425716</v>
      </c>
      <c r="Q101">
        <f t="shared" si="29"/>
        <v>-1.3308576086390689</v>
      </c>
      <c r="R101">
        <f t="shared" si="21"/>
        <v>-3.1934942857219117</v>
      </c>
      <c r="S101">
        <f t="shared" si="22"/>
        <v>8.2220012945411591E-2</v>
      </c>
      <c r="U101" s="15">
        <f t="shared" si="30"/>
        <v>0.95000000000000062</v>
      </c>
      <c r="V101">
        <f t="shared" si="35"/>
        <v>19.76521591108899</v>
      </c>
      <c r="W101">
        <f t="shared" si="23"/>
        <v>0.23478408891100955</v>
      </c>
      <c r="X101">
        <f t="shared" si="31"/>
        <v>5.6675001736502351</v>
      </c>
      <c r="Y101">
        <f t="shared" si="32"/>
        <v>-0.78679474292400187</v>
      </c>
      <c r="Z101">
        <f t="shared" si="24"/>
        <v>0.7528956344349248</v>
      </c>
      <c r="AA101">
        <f t="shared" si="25"/>
        <v>1.4087045334660573</v>
      </c>
    </row>
    <row r="102" spans="8:27" x14ac:dyDescent="0.25">
      <c r="H102" s="15">
        <f t="shared" si="26"/>
        <v>0.96000000000000063</v>
      </c>
      <c r="I102" s="9">
        <f t="shared" si="19"/>
        <v>44.105029083549482</v>
      </c>
      <c r="J102">
        <f t="shared" si="33"/>
        <v>44.245775174202073</v>
      </c>
      <c r="K102">
        <f t="shared" si="36"/>
        <v>49.710454241891668</v>
      </c>
      <c r="M102" s="15">
        <f t="shared" si="27"/>
        <v>0.96000000000000063</v>
      </c>
      <c r="N102">
        <f t="shared" si="34"/>
        <v>0.7209606915777057</v>
      </c>
      <c r="O102">
        <f t="shared" si="20"/>
        <v>0.64257010382226143</v>
      </c>
      <c r="P102">
        <f t="shared" si="28"/>
        <v>-0.26961395196999022</v>
      </c>
      <c r="Q102">
        <f t="shared" si="29"/>
        <v>-1.3238795208871057</v>
      </c>
      <c r="R102">
        <f t="shared" si="21"/>
        <v>-3.0107340586383211</v>
      </c>
      <c r="S102">
        <f t="shared" si="22"/>
        <v>7.6168347414299342E-2</v>
      </c>
      <c r="U102" s="15">
        <f t="shared" si="30"/>
        <v>0.96000000000000063</v>
      </c>
      <c r="V102">
        <f t="shared" si="35"/>
        <v>19.772744867433339</v>
      </c>
      <c r="W102">
        <f t="shared" si="23"/>
        <v>0.22725513256666119</v>
      </c>
      <c r="X102">
        <f t="shared" si="31"/>
        <v>5.6698103697576236</v>
      </c>
      <c r="Y102">
        <f t="shared" si="32"/>
        <v>-0.75289563443483587</v>
      </c>
      <c r="Z102">
        <f t="shared" si="24"/>
        <v>0.7209606915777057</v>
      </c>
      <c r="AA102">
        <f t="shared" si="25"/>
        <v>1.3635307953999671</v>
      </c>
    </row>
    <row r="103" spans="8:27" x14ac:dyDescent="0.25">
      <c r="H103" s="15">
        <f t="shared" si="26"/>
        <v>0.97000000000000064</v>
      </c>
      <c r="I103" s="9">
        <f t="shared" si="19"/>
        <v>44.234859267767781</v>
      </c>
      <c r="J103">
        <f t="shared" si="33"/>
        <v>44.373921965170581</v>
      </c>
      <c r="K103">
        <f t="shared" si="36"/>
        <v>49.716902436194708</v>
      </c>
      <c r="M103" s="15">
        <f t="shared" si="27"/>
        <v>0.97000000000000064</v>
      </c>
      <c r="N103">
        <f t="shared" si="34"/>
        <v>0.6908533509913225</v>
      </c>
      <c r="O103">
        <f t="shared" si="20"/>
        <v>0.62941980291398936</v>
      </c>
      <c r="P103">
        <f t="shared" si="28"/>
        <v>-0.26325400243630898</v>
      </c>
      <c r="Q103">
        <f t="shared" si="29"/>
        <v>-1.3150300908272072</v>
      </c>
      <c r="R103">
        <f t="shared" si="21"/>
        <v>-2.8406042385385306</v>
      </c>
      <c r="S103">
        <f t="shared" si="22"/>
        <v>7.0580707261838294E-2</v>
      </c>
      <c r="U103" s="15">
        <f t="shared" si="30"/>
        <v>0.97000000000000064</v>
      </c>
      <c r="V103">
        <f t="shared" si="35"/>
        <v>19.779954474349115</v>
      </c>
      <c r="W103">
        <f t="shared" si="23"/>
        <v>0.22004552565088531</v>
      </c>
      <c r="X103">
        <f t="shared" si="31"/>
        <v>5.6720468730487115</v>
      </c>
      <c r="Y103">
        <f t="shared" si="32"/>
        <v>-0.72096069157758791</v>
      </c>
      <c r="Z103">
        <f t="shared" si="24"/>
        <v>0.6908533509913225</v>
      </c>
      <c r="AA103">
        <f t="shared" si="25"/>
        <v>1.3202731539053119</v>
      </c>
    </row>
    <row r="104" spans="8:27" x14ac:dyDescent="0.25">
      <c r="H104" s="15">
        <f t="shared" si="26"/>
        <v>0.98000000000000065</v>
      </c>
      <c r="I104" s="9">
        <f t="shared" si="19"/>
        <v>44.361830086439909</v>
      </c>
      <c r="J104">
        <f t="shared" si="33"/>
        <v>44.499214922558949</v>
      </c>
      <c r="K104">
        <f t="shared" si="36"/>
        <v>49.723207028981911</v>
      </c>
      <c r="M104" s="15">
        <f t="shared" si="27"/>
        <v>0.98000000000000065</v>
      </c>
      <c r="N104">
        <f t="shared" si="34"/>
        <v>0.66244730860593715</v>
      </c>
      <c r="O104">
        <f t="shared" si="20"/>
        <v>0.61637464423988708</v>
      </c>
      <c r="P104">
        <f t="shared" si="28"/>
        <v>-0.25702503020053957</v>
      </c>
      <c r="Q104">
        <f t="shared" si="29"/>
        <v>-1.3045158674102275</v>
      </c>
      <c r="R104">
        <f t="shared" si="21"/>
        <v>-2.6821581034073803</v>
      </c>
      <c r="S104">
        <f t="shared" si="22"/>
        <v>6.5421021197025864E-2</v>
      </c>
      <c r="U104" s="15">
        <f t="shared" si="30"/>
        <v>0.98000000000000065</v>
      </c>
      <c r="V104">
        <f t="shared" si="35"/>
        <v>19.786863007859029</v>
      </c>
      <c r="W104">
        <f t="shared" si="23"/>
        <v>0.2131369921409707</v>
      </c>
      <c r="X104">
        <f t="shared" si="31"/>
        <v>5.6742127856376712</v>
      </c>
      <c r="Y104">
        <f t="shared" si="32"/>
        <v>-0.6908533509914605</v>
      </c>
      <c r="Z104">
        <f t="shared" si="24"/>
        <v>0.66244730860593715</v>
      </c>
      <c r="AA104">
        <f t="shared" si="25"/>
        <v>1.2788219528458242</v>
      </c>
    </row>
    <row r="105" spans="8:27" x14ac:dyDescent="0.25">
      <c r="H105" s="15">
        <f t="shared" si="26"/>
        <v>0.99000000000000066</v>
      </c>
      <c r="I105" s="9">
        <f t="shared" si="19"/>
        <v>44.486004513914843</v>
      </c>
      <c r="J105">
        <f t="shared" si="33"/>
        <v>44.621717601342233</v>
      </c>
      <c r="K105">
        <f t="shared" si="36"/>
        <v>49.72937121826412</v>
      </c>
      <c r="M105" s="15">
        <f t="shared" si="27"/>
        <v>0.99000000000000066</v>
      </c>
      <c r="N105">
        <f t="shared" si="34"/>
        <v>0.63562572757186331</v>
      </c>
      <c r="O105">
        <f t="shared" si="20"/>
        <v>0.60344938675760318</v>
      </c>
      <c r="P105">
        <f t="shared" si="28"/>
        <v>-0.25092591004555215</v>
      </c>
      <c r="Q105">
        <f t="shared" si="29"/>
        <v>-1.2925257482283903</v>
      </c>
      <c r="R105">
        <f t="shared" si="21"/>
        <v>-2.5345219691770082</v>
      </c>
      <c r="S105">
        <f t="shared" si="22"/>
        <v>6.0656034194838226E-2</v>
      </c>
      <c r="U105" s="15">
        <f t="shared" si="30"/>
        <v>0.99000000000000066</v>
      </c>
      <c r="V105">
        <f t="shared" si="35"/>
        <v>19.793487480945089</v>
      </c>
      <c r="W105">
        <f t="shared" si="23"/>
        <v>0.20651251905491108</v>
      </c>
      <c r="X105">
        <f t="shared" si="31"/>
        <v>5.6763110331936506</v>
      </c>
      <c r="Y105">
        <f t="shared" si="32"/>
        <v>-0.66244730860596235</v>
      </c>
      <c r="Z105">
        <f t="shared" si="24"/>
        <v>0.63562572757186331</v>
      </c>
      <c r="AA105">
        <f t="shared" si="25"/>
        <v>1.2390751143294665</v>
      </c>
    </row>
    <row r="106" spans="8:27" x14ac:dyDescent="0.25">
      <c r="H106" s="15">
        <f t="shared" si="26"/>
        <v>1.0000000000000007</v>
      </c>
      <c r="I106" s="9">
        <f t="shared" si="19"/>
        <v>44.607444137601462</v>
      </c>
      <c r="J106">
        <f t="shared" si="33"/>
        <v>44.741492141123935</v>
      </c>
      <c r="K106">
        <f t="shared" si="36"/>
        <v>49.735398130832372</v>
      </c>
      <c r="M106" s="15">
        <f t="shared" si="27"/>
        <v>1.0000000000000007</v>
      </c>
      <c r="N106">
        <f t="shared" si="34"/>
        <v>0.61028050788009325</v>
      </c>
      <c r="O106">
        <f t="shared" si="20"/>
        <v>0.59065706279505803</v>
      </c>
      <c r="P106">
        <f t="shared" si="28"/>
        <v>-0.24495537779778884</v>
      </c>
      <c r="Q106">
        <f t="shared" si="29"/>
        <v>-1.2792323962545149</v>
      </c>
      <c r="R106">
        <f t="shared" si="21"/>
        <v>-2.3968895021260472</v>
      </c>
      <c r="S106">
        <f t="shared" si="22"/>
        <v>5.6255087361373191E-2</v>
      </c>
      <c r="U106" s="15">
        <f t="shared" si="30"/>
        <v>1.0000000000000007</v>
      </c>
      <c r="V106">
        <f t="shared" si="35"/>
        <v>19.799843738220808</v>
      </c>
      <c r="W106">
        <f t="shared" si="23"/>
        <v>0.20015626177919188</v>
      </c>
      <c r="X106">
        <f t="shared" si="31"/>
        <v>5.6783443770978215</v>
      </c>
      <c r="Y106">
        <f t="shared" si="32"/>
        <v>-0.63562572757192015</v>
      </c>
      <c r="Z106">
        <f t="shared" si="24"/>
        <v>0.61028050788009325</v>
      </c>
      <c r="AA106">
        <f t="shared" si="25"/>
        <v>1.2009375706751513</v>
      </c>
    </row>
    <row r="107" spans="8:27" x14ac:dyDescent="0.25">
      <c r="H107" s="15">
        <f t="shared" si="26"/>
        <v>1.0100000000000007</v>
      </c>
      <c r="I107" s="9">
        <f t="shared" si="19"/>
        <v>44.726209188514432</v>
      </c>
      <c r="J107">
        <f t="shared" si="33"/>
        <v>44.85859929765639</v>
      </c>
      <c r="K107">
        <f t="shared" si="36"/>
        <v>49.741290823843961</v>
      </c>
      <c r="M107" s="15">
        <f t="shared" si="27"/>
        <v>1.0100000000000007</v>
      </c>
      <c r="N107">
        <f t="shared" si="34"/>
        <v>0.58631161285883282</v>
      </c>
      <c r="O107">
        <f t="shared" si="20"/>
        <v>0.57800912734351639</v>
      </c>
      <c r="P107">
        <f t="shared" si="28"/>
        <v>-0.23911204684709597</v>
      </c>
      <c r="Q107">
        <f t="shared" si="29"/>
        <v>-1.2647935451541636</v>
      </c>
      <c r="R107">
        <f t="shared" si="21"/>
        <v>-2.2685164752654874</v>
      </c>
      <c r="S107">
        <f t="shared" si="22"/>
        <v>5.2189914999988707E-2</v>
      </c>
      <c r="U107" s="15">
        <f t="shared" si="30"/>
        <v>1.0100000000000007</v>
      </c>
      <c r="V107">
        <f t="shared" si="35"/>
        <v>19.805946543299608</v>
      </c>
      <c r="W107">
        <f t="shared" si="23"/>
        <v>0.19405345670039154</v>
      </c>
      <c r="X107">
        <f t="shared" si="31"/>
        <v>5.6803154256902193</v>
      </c>
      <c r="Y107">
        <f t="shared" si="32"/>
        <v>-0.61028050788003441</v>
      </c>
      <c r="Z107">
        <f t="shared" si="24"/>
        <v>0.58631161285883282</v>
      </c>
      <c r="AA107">
        <f t="shared" si="25"/>
        <v>1.1643207402023492</v>
      </c>
    </row>
    <row r="108" spans="8:27" x14ac:dyDescent="0.25">
      <c r="H108" s="15">
        <f t="shared" si="26"/>
        <v>1.0200000000000007</v>
      </c>
      <c r="I108" s="9">
        <f t="shared" si="19"/>
        <v>44.842358571147209</v>
      </c>
      <c r="J108">
        <f t="shared" si="33"/>
        <v>44.973098473659164</v>
      </c>
      <c r="K108">
        <f t="shared" si="36"/>
        <v>49.747052286373176</v>
      </c>
      <c r="M108" s="15">
        <f t="shared" si="27"/>
        <v>1.0200000000000007</v>
      </c>
      <c r="N108">
        <f t="shared" si="34"/>
        <v>0.5636264481061779</v>
      </c>
      <c r="O108">
        <f t="shared" si="20"/>
        <v>0.56551559532464712</v>
      </c>
      <c r="P108">
        <f t="shared" si="28"/>
        <v>-0.23339442323375514</v>
      </c>
      <c r="Q108">
        <f t="shared" si="29"/>
        <v>-1.2493532018869269</v>
      </c>
      <c r="R108">
        <f t="shared" si="21"/>
        <v>-2.1487159341017366</v>
      </c>
      <c r="S108">
        <f t="shared" si="22"/>
        <v>4.843445753835085E-2</v>
      </c>
      <c r="U108" s="15">
        <f t="shared" si="30"/>
        <v>1.0200000000000007</v>
      </c>
      <c r="V108">
        <f t="shared" si="35"/>
        <v>19.811809659428196</v>
      </c>
      <c r="W108">
        <f t="shared" si="23"/>
        <v>0.18819034057180417</v>
      </c>
      <c r="X108">
        <f t="shared" si="31"/>
        <v>5.6822266446765806</v>
      </c>
      <c r="Y108">
        <f t="shared" si="32"/>
        <v>-0.58631161285873645</v>
      </c>
      <c r="Z108">
        <f t="shared" si="24"/>
        <v>0.5636264481061779</v>
      </c>
      <c r="AA108">
        <f t="shared" si="25"/>
        <v>1.129142043430825</v>
      </c>
    </row>
    <row r="109" spans="8:27" x14ac:dyDescent="0.25">
      <c r="H109" s="15">
        <f t="shared" si="26"/>
        <v>1.0300000000000007</v>
      </c>
      <c r="I109" s="9">
        <f t="shared" si="19"/>
        <v>44.955949892687286</v>
      </c>
      <c r="J109">
        <f t="shared" si="33"/>
        <v>45.085047748951155</v>
      </c>
      <c r="K109">
        <f t="shared" si="36"/>
        <v>49.752685440927507</v>
      </c>
      <c r="M109" s="15">
        <f t="shared" si="27"/>
        <v>1.0300000000000007</v>
      </c>
      <c r="N109">
        <f t="shared" si="34"/>
        <v>0.54213928876516049</v>
      </c>
      <c r="O109">
        <f t="shared" si="20"/>
        <v>0.55318516777929305</v>
      </c>
      <c r="P109">
        <f t="shared" si="28"/>
        <v>-0.22780091941823544</v>
      </c>
      <c r="Q109">
        <f t="shared" si="29"/>
        <v>-1.2330427545354072</v>
      </c>
      <c r="R109">
        <f t="shared" si="21"/>
        <v>-2.0368537398131941</v>
      </c>
      <c r="S109">
        <f t="shared" si="22"/>
        <v>4.4964689077945263E-2</v>
      </c>
      <c r="U109" s="15">
        <f t="shared" si="30"/>
        <v>1.0300000000000007</v>
      </c>
      <c r="V109">
        <f t="shared" si="35"/>
        <v>19.817445923909258</v>
      </c>
      <c r="W109">
        <f t="shared" si="23"/>
        <v>0.18255407609074226</v>
      </c>
      <c r="X109">
        <f t="shared" si="31"/>
        <v>5.6840803667598934</v>
      </c>
      <c r="Y109">
        <f t="shared" si="32"/>
        <v>-0.56362644810619145</v>
      </c>
      <c r="Z109">
        <f t="shared" si="24"/>
        <v>0.54213928876516049</v>
      </c>
      <c r="AA109">
        <f t="shared" si="25"/>
        <v>1.0953244565444535</v>
      </c>
    </row>
    <row r="110" spans="8:27" x14ac:dyDescent="0.25">
      <c r="H110" s="15">
        <f t="shared" si="26"/>
        <v>1.0400000000000007</v>
      </c>
      <c r="I110" s="9">
        <f t="shared" si="19"/>
        <v>45.067039491587813</v>
      </c>
      <c r="J110">
        <f t="shared" si="33"/>
        <v>45.194503909911639</v>
      </c>
      <c r="K110">
        <f t="shared" si="36"/>
        <v>49.758193144930111</v>
      </c>
      <c r="M110" s="15">
        <f t="shared" si="27"/>
        <v>1.0400000000000007</v>
      </c>
      <c r="N110">
        <f t="shared" si="34"/>
        <v>0.52177075136702855</v>
      </c>
      <c r="O110">
        <f t="shared" si="20"/>
        <v>0.54102534785151646</v>
      </c>
      <c r="P110">
        <f t="shared" si="28"/>
        <v>-0.22232986684008138</v>
      </c>
      <c r="Q110">
        <f t="shared" si="29"/>
        <v>-1.2159819927776594</v>
      </c>
      <c r="R110">
        <f t="shared" si="21"/>
        <v>-1.9323444603880116</v>
      </c>
      <c r="S110">
        <f t="shared" si="22"/>
        <v>4.1758458425150469E-2</v>
      </c>
      <c r="U110" s="15">
        <f t="shared" si="30"/>
        <v>1.0400000000000007</v>
      </c>
      <c r="V110">
        <f t="shared" si="35"/>
        <v>19.822867316796909</v>
      </c>
      <c r="W110">
        <f t="shared" si="23"/>
        <v>0.17713268320309083</v>
      </c>
      <c r="X110">
        <f t="shared" si="31"/>
        <v>5.6858788005563623</v>
      </c>
      <c r="Y110">
        <f t="shared" si="32"/>
        <v>-0.54213928876514217</v>
      </c>
      <c r="Z110">
        <f t="shared" si="24"/>
        <v>0.52177075136702855</v>
      </c>
      <c r="AA110">
        <f t="shared" si="25"/>
        <v>1.062796099218545</v>
      </c>
    </row>
    <row r="111" spans="8:27" x14ac:dyDescent="0.25">
      <c r="H111" s="15">
        <f t="shared" si="26"/>
        <v>1.0500000000000007</v>
      </c>
      <c r="I111" s="9">
        <f t="shared" si="19"/>
        <v>45.175682465510128</v>
      </c>
      <c r="J111">
        <f t="shared" si="33"/>
        <v>45.301522478285207</v>
      </c>
      <c r="K111">
        <f t="shared" si="36"/>
        <v>49.76357819216922</v>
      </c>
      <c r="M111" s="15">
        <f t="shared" si="27"/>
        <v>1.0500000000000007</v>
      </c>
      <c r="N111">
        <f t="shared" si="34"/>
        <v>0.50244730676314842</v>
      </c>
      <c r="O111">
        <f t="shared" si="20"/>
        <v>0.52904254737338252</v>
      </c>
      <c r="P111">
        <f t="shared" si="28"/>
        <v>-0.2169795273639569</v>
      </c>
      <c r="Q111">
        <f t="shared" si="29"/>
        <v>-1.1982800478133937</v>
      </c>
      <c r="R111">
        <f t="shared" si="21"/>
        <v>-1.8346475825533677</v>
      </c>
      <c r="S111">
        <f t="shared" si="22"/>
        <v>3.8795342551153356E-2</v>
      </c>
      <c r="U111" s="15">
        <f t="shared" si="30"/>
        <v>1.0500000000000007</v>
      </c>
      <c r="V111">
        <f t="shared" si="35"/>
        <v>19.828085024310578</v>
      </c>
      <c r="W111">
        <f t="shared" si="23"/>
        <v>0.17191497568942182</v>
      </c>
      <c r="X111">
        <f t="shared" si="31"/>
        <v>5.6876240388508252</v>
      </c>
      <c r="Y111">
        <f t="shared" si="32"/>
        <v>-0.52177075136690121</v>
      </c>
      <c r="Z111">
        <f t="shared" si="24"/>
        <v>0.50244730676314842</v>
      </c>
      <c r="AA111">
        <f t="shared" si="25"/>
        <v>1.0314898541365309</v>
      </c>
    </row>
    <row r="112" spans="8:27" x14ac:dyDescent="0.25">
      <c r="H112" s="15">
        <f t="shared" si="26"/>
        <v>1.0600000000000007</v>
      </c>
      <c r="I112" s="9">
        <f t="shared" si="19"/>
        <v>45.281932698650813</v>
      </c>
      <c r="J112">
        <f t="shared" si="33"/>
        <v>45.406157739345225</v>
      </c>
      <c r="K112">
        <f t="shared" si="36"/>
        <v>49.76884331421531</v>
      </c>
      <c r="M112" s="15">
        <f t="shared" si="27"/>
        <v>1.0600000000000007</v>
      </c>
      <c r="N112">
        <f t="shared" si="34"/>
        <v>0.48410083093761475</v>
      </c>
      <c r="O112">
        <f t="shared" si="20"/>
        <v>0.517242184793125</v>
      </c>
      <c r="P112">
        <f t="shared" si="28"/>
        <v>-0.21174810370312436</v>
      </c>
      <c r="Q112">
        <f t="shared" si="29"/>
        <v>-1.1800362580257517</v>
      </c>
      <c r="R112">
        <f t="shared" si="21"/>
        <v>-1.7432640194378197</v>
      </c>
      <c r="S112">
        <f t="shared" si="22"/>
        <v>3.6056511509629297E-2</v>
      </c>
      <c r="U112" s="15">
        <f t="shared" si="30"/>
        <v>1.0600000000000007</v>
      </c>
      <c r="V112">
        <f t="shared" si="35"/>
        <v>19.83310949737821</v>
      </c>
      <c r="W112">
        <f t="shared" si="23"/>
        <v>0.16689050262178995</v>
      </c>
      <c r="X112">
        <f t="shared" si="31"/>
        <v>5.6893180662423815</v>
      </c>
      <c r="Y112">
        <f t="shared" si="32"/>
        <v>-0.50244730676318738</v>
      </c>
      <c r="Z112">
        <f t="shared" si="24"/>
        <v>0.48410083093761475</v>
      </c>
      <c r="AA112">
        <f t="shared" si="25"/>
        <v>1.0013430157307397</v>
      </c>
    </row>
    <row r="113" spans="8:27" x14ac:dyDescent="0.25">
      <c r="H113" s="15">
        <f t="shared" si="26"/>
        <v>1.0700000000000007</v>
      </c>
      <c r="I113" s="9">
        <f t="shared" si="19"/>
        <v>45.385842888466875</v>
      </c>
      <c r="J113">
        <f t="shared" si="33"/>
        <v>45.508462769430103</v>
      </c>
      <c r="K113">
        <f t="shared" si="36"/>
        <v>49.773991181806686</v>
      </c>
      <c r="M113" s="15">
        <f t="shared" si="27"/>
        <v>1.0700000000000007</v>
      </c>
      <c r="N113">
        <f t="shared" si="34"/>
        <v>0.46666819074323657</v>
      </c>
      <c r="O113">
        <f t="shared" si="20"/>
        <v>0.50562877513124072</v>
      </c>
      <c r="P113">
        <f t="shared" si="28"/>
        <v>-0.20663374890350253</v>
      </c>
      <c r="Q113">
        <f t="shared" si="29"/>
        <v>-1.1613409661884289</v>
      </c>
      <c r="R113">
        <f t="shared" si="21"/>
        <v>-1.6577328908647748</v>
      </c>
      <c r="S113">
        <f t="shared" si="22"/>
        <v>3.3524603916915474E-2</v>
      </c>
      <c r="U113" s="15">
        <f t="shared" si="30"/>
        <v>1.0700000000000007</v>
      </c>
      <c r="V113">
        <f t="shared" si="35"/>
        <v>19.837950505687587</v>
      </c>
      <c r="W113">
        <f t="shared" si="23"/>
        <v>0.16204949431241289</v>
      </c>
      <c r="X113">
        <f t="shared" si="31"/>
        <v>5.6909627662270523</v>
      </c>
      <c r="Y113">
        <f t="shared" si="32"/>
        <v>-0.48410083093770595</v>
      </c>
      <c r="Z113">
        <f t="shared" si="24"/>
        <v>0.46666819074323657</v>
      </c>
      <c r="AA113">
        <f t="shared" si="25"/>
        <v>0.97229696587447734</v>
      </c>
    </row>
    <row r="114" spans="8:27" x14ac:dyDescent="0.25">
      <c r="H114" s="15">
        <f t="shared" si="26"/>
        <v>1.0800000000000007</v>
      </c>
      <c r="I114" s="9">
        <f t="shared" si="19"/>
        <v>45.487464571812382</v>
      </c>
      <c r="J114">
        <f t="shared" si="33"/>
        <v>45.608489462866309</v>
      </c>
      <c r="K114">
        <f t="shared" si="36"/>
        <v>49.779024406204215</v>
      </c>
      <c r="M114" s="15">
        <f t="shared" si="27"/>
        <v>1.0800000000000007</v>
      </c>
      <c r="N114">
        <f t="shared" si="34"/>
        <v>0.4500908618345888</v>
      </c>
      <c r="O114">
        <f t="shared" si="20"/>
        <v>0.49420601259528507</v>
      </c>
      <c r="P114">
        <f t="shared" si="28"/>
        <v>-0.20163457496486989</v>
      </c>
      <c r="Q114">
        <f t="shared" si="29"/>
        <v>-1.1422762535955644</v>
      </c>
      <c r="R114">
        <f t="shared" si="21"/>
        <v>-1.5776285549870774</v>
      </c>
      <c r="S114">
        <f t="shared" si="22"/>
        <v>3.1183612169734976E-2</v>
      </c>
      <c r="U114" s="15">
        <f t="shared" si="30"/>
        <v>1.0800000000000007</v>
      </c>
      <c r="V114">
        <f t="shared" si="35"/>
        <v>19.842617187595021</v>
      </c>
      <c r="W114">
        <f t="shared" si="23"/>
        <v>0.15738281240497898</v>
      </c>
      <c r="X114">
        <f t="shared" si="31"/>
        <v>5.6925599277606391</v>
      </c>
      <c r="Y114">
        <f t="shared" si="32"/>
        <v>-0.46666819074339116</v>
      </c>
      <c r="Z114">
        <f t="shared" si="24"/>
        <v>0.4500908618345888</v>
      </c>
      <c r="AA114">
        <f t="shared" si="25"/>
        <v>0.94429687442987387</v>
      </c>
    </row>
    <row r="115" spans="8:27" x14ac:dyDescent="0.25">
      <c r="H115" s="15">
        <f t="shared" si="26"/>
        <v>1.0900000000000007</v>
      </c>
      <c r="I115" s="9">
        <f t="shared" si="19"/>
        <v>45.586848150499478</v>
      </c>
      <c r="J115">
        <f t="shared" si="33"/>
        <v>45.706288558291824</v>
      </c>
      <c r="K115">
        <f t="shared" si="36"/>
        <v>49.78394554051588</v>
      </c>
      <c r="M115" s="15">
        <f t="shared" si="27"/>
        <v>1.0900000000000007</v>
      </c>
      <c r="N115">
        <f t="shared" si="34"/>
        <v>0.43431457628471803</v>
      </c>
      <c r="O115">
        <f t="shared" si="20"/>
        <v>0.4829768464350741</v>
      </c>
      <c r="P115">
        <f t="shared" si="28"/>
        <v>-0.19674866066971811</v>
      </c>
      <c r="Q115">
        <f t="shared" si="29"/>
        <v>-1.1229166160210968</v>
      </c>
      <c r="R115">
        <f t="shared" si="21"/>
        <v>-1.5025578716113142</v>
      </c>
      <c r="S115">
        <f t="shared" si="22"/>
        <v>2.9018776638653265E-2</v>
      </c>
      <c r="U115" s="15">
        <f t="shared" si="30"/>
        <v>1.0900000000000007</v>
      </c>
      <c r="V115">
        <f t="shared" si="35"/>
        <v>19.847118096213368</v>
      </c>
      <c r="W115">
        <f t="shared" si="23"/>
        <v>0.15288190378663202</v>
      </c>
      <c r="X115">
        <f t="shared" si="31"/>
        <v>5.6941112513415968</v>
      </c>
      <c r="Y115">
        <f t="shared" si="32"/>
        <v>-0.45009086183469549</v>
      </c>
      <c r="Z115">
        <f t="shared" si="24"/>
        <v>0.43431457628471803</v>
      </c>
      <c r="AA115">
        <f t="shared" si="25"/>
        <v>0.91729142271979214</v>
      </c>
    </row>
    <row r="116" spans="8:27" x14ac:dyDescent="0.25">
      <c r="H116" s="15">
        <f t="shared" si="26"/>
        <v>1.1000000000000008</v>
      </c>
      <c r="I116" s="9">
        <f t="shared" si="19"/>
        <v>45.684042916296384</v>
      </c>
      <c r="J116">
        <f t="shared" si="33"/>
        <v>45.801909664393349</v>
      </c>
      <c r="K116">
        <f t="shared" si="36"/>
        <v>49.788757080991878</v>
      </c>
      <c r="M116" s="15">
        <f t="shared" si="27"/>
        <v>1.1000000000000008</v>
      </c>
      <c r="N116">
        <f t="shared" si="34"/>
        <v>0.41928899756860488</v>
      </c>
      <c r="O116">
        <f t="shared" si="20"/>
        <v>0.47194355057411258</v>
      </c>
      <c r="P116">
        <f t="shared" si="28"/>
        <v>-0.19197405868467218</v>
      </c>
      <c r="Q116">
        <f t="shared" si="29"/>
        <v>-1.1033295860961523</v>
      </c>
      <c r="R116">
        <f t="shared" si="21"/>
        <v>-1.4321576791169364</v>
      </c>
      <c r="S116">
        <f t="shared" si="22"/>
        <v>2.7016488136097305E-2</v>
      </c>
      <c r="U116" s="15">
        <f t="shared" si="30"/>
        <v>1.1000000000000008</v>
      </c>
      <c r="V116">
        <f t="shared" si="35"/>
        <v>19.851461241976214</v>
      </c>
      <c r="W116">
        <f t="shared" si="23"/>
        <v>0.14853875802378624</v>
      </c>
      <c r="X116">
        <f t="shared" si="31"/>
        <v>5.6956183546506489</v>
      </c>
      <c r="Y116">
        <f t="shared" si="32"/>
        <v>-0.43431457628457792</v>
      </c>
      <c r="Z116">
        <f t="shared" si="24"/>
        <v>0.41928899756860488</v>
      </c>
      <c r="AA116">
        <f t="shared" si="25"/>
        <v>0.89123254814271746</v>
      </c>
    </row>
    <row r="117" spans="8:27" x14ac:dyDescent="0.25">
      <c r="H117" s="15">
        <f t="shared" si="26"/>
        <v>1.1100000000000008</v>
      </c>
      <c r="I117" s="9">
        <f t="shared" si="19"/>
        <v>45.779097075374906</v>
      </c>
      <c r="J117">
        <f t="shared" si="33"/>
        <v>45.895401285070392</v>
      </c>
      <c r="K117">
        <f t="shared" si="36"/>
        <v>49.793461468290815</v>
      </c>
      <c r="M117" s="15">
        <f t="shared" si="27"/>
        <v>1.1100000000000008</v>
      </c>
      <c r="N117">
        <f t="shared" si="34"/>
        <v>0.40496742077743553</v>
      </c>
      <c r="O117">
        <f t="shared" si="20"/>
        <v>0.46110778751115655</v>
      </c>
      <c r="P117">
        <f t="shared" si="28"/>
        <v>-0.18730880199424585</v>
      </c>
      <c r="Q117">
        <f t="shared" si="29"/>
        <v>-1.0835763062956028</v>
      </c>
      <c r="R117">
        <f t="shared" si="21"/>
        <v>-1.3660924682763969</v>
      </c>
      <c r="S117">
        <f t="shared" si="22"/>
        <v>2.5164198011872141E-2</v>
      </c>
      <c r="U117" s="15">
        <f t="shared" si="30"/>
        <v>1.1100000000000008</v>
      </c>
      <c r="V117">
        <f t="shared" si="35"/>
        <v>19.855654131951901</v>
      </c>
      <c r="W117">
        <f t="shared" si="23"/>
        <v>0.14434586804809868</v>
      </c>
      <c r="X117">
        <f t="shared" si="31"/>
        <v>5.6970827777810085</v>
      </c>
      <c r="Y117">
        <f t="shared" si="32"/>
        <v>-0.41928899756875637</v>
      </c>
      <c r="Z117">
        <f t="shared" si="24"/>
        <v>0.40496742077743553</v>
      </c>
      <c r="AA117">
        <f t="shared" si="25"/>
        <v>0.86607520828859208</v>
      </c>
    </row>
    <row r="118" spans="8:27" x14ac:dyDescent="0.25">
      <c r="H118" s="15">
        <f t="shared" si="26"/>
        <v>1.1200000000000008</v>
      </c>
      <c r="I118" s="9">
        <f t="shared" si="19"/>
        <v>45.872057772219463</v>
      </c>
      <c r="J118">
        <f t="shared" si="33"/>
        <v>45.986810844038878</v>
      </c>
      <c r="K118">
        <f t="shared" si="36"/>
        <v>49.798061088717745</v>
      </c>
      <c r="M118" s="15">
        <f t="shared" si="27"/>
        <v>1.1200000000000008</v>
      </c>
      <c r="N118">
        <f t="shared" si="34"/>
        <v>0.39130649609467155</v>
      </c>
      <c r="O118">
        <f t="shared" si="20"/>
        <v>0.45047066694727506</v>
      </c>
      <c r="P118">
        <f t="shared" si="28"/>
        <v>-0.18275090972195368</v>
      </c>
      <c r="Q118">
        <f t="shared" si="29"/>
        <v>-1.0637120563881497</v>
      </c>
      <c r="R118">
        <f t="shared" si="21"/>
        <v>-1.3040522375764747</v>
      </c>
      <c r="S118">
        <f t="shared" si="22"/>
        <v>2.3450335279099843E-2</v>
      </c>
      <c r="U118" s="15">
        <f t="shared" si="30"/>
        <v>1.1200000000000008</v>
      </c>
      <c r="V118">
        <f t="shared" si="35"/>
        <v>19.859703806159676</v>
      </c>
      <c r="W118">
        <f t="shared" si="23"/>
        <v>0.14029619384032443</v>
      </c>
      <c r="X118">
        <f t="shared" si="31"/>
        <v>5.6985059880904503</v>
      </c>
      <c r="Y118">
        <f t="shared" si="32"/>
        <v>-0.40496742077742454</v>
      </c>
      <c r="Z118">
        <f t="shared" si="24"/>
        <v>0.39130649609467155</v>
      </c>
      <c r="AA118">
        <f t="shared" si="25"/>
        <v>0.84177716304194661</v>
      </c>
    </row>
    <row r="119" spans="8:27" x14ac:dyDescent="0.25">
      <c r="H119" s="15">
        <f t="shared" si="26"/>
        <v>1.1300000000000008</v>
      </c>
      <c r="I119" s="9">
        <f t="shared" si="19"/>
        <v>45.962971113009608</v>
      </c>
      <c r="J119">
        <f t="shared" si="33"/>
        <v>46.076184708886906</v>
      </c>
      <c r="K119">
        <f t="shared" si="36"/>
        <v>49.80255827543462</v>
      </c>
      <c r="M119" s="15">
        <f t="shared" si="27"/>
        <v>1.1300000000000008</v>
      </c>
      <c r="N119">
        <f t="shared" si="34"/>
        <v>0.3782659737189068</v>
      </c>
      <c r="O119">
        <f t="shared" si="20"/>
        <v>0.44003279955735441</v>
      </c>
      <c r="P119">
        <f t="shared" si="28"/>
        <v>-0.17829839238943054</v>
      </c>
      <c r="Q119">
        <f t="shared" si="29"/>
        <v>-1.0437867389920641</v>
      </c>
      <c r="R119">
        <f t="shared" si="21"/>
        <v>-1.245750515885266</v>
      </c>
      <c r="S119">
        <f t="shared" si="22"/>
        <v>2.1864230222364556E-2</v>
      </c>
      <c r="U119" s="15">
        <f t="shared" si="30"/>
        <v>1.1300000000000008</v>
      </c>
      <c r="V119">
        <f t="shared" si="35"/>
        <v>19.863616871120623</v>
      </c>
      <c r="W119">
        <f t="shared" si="23"/>
        <v>0.13638312887937687</v>
      </c>
      <c r="X119">
        <f t="shared" si="31"/>
        <v>5.6998893847040488</v>
      </c>
      <c r="Y119">
        <f t="shared" si="32"/>
        <v>-0.39130649609475654</v>
      </c>
      <c r="Z119">
        <f t="shared" si="24"/>
        <v>0.3782659737189068</v>
      </c>
      <c r="AA119">
        <f t="shared" si="25"/>
        <v>0.81829877327626122</v>
      </c>
    </row>
    <row r="120" spans="8:27" x14ac:dyDescent="0.25">
      <c r="H120" s="15">
        <f t="shared" si="26"/>
        <v>1.1400000000000008</v>
      </c>
      <c r="I120" s="9">
        <f t="shared" si="19"/>
        <v>46.051882188487511</v>
      </c>
      <c r="J120">
        <f t="shared" si="33"/>
        <v>46.163568214594747</v>
      </c>
      <c r="K120">
        <f t="shared" si="36"/>
        <v>49.806955309643797</v>
      </c>
      <c r="M120" s="15">
        <f t="shared" si="27"/>
        <v>1.1400000000000008</v>
      </c>
      <c r="N120">
        <f t="shared" si="34"/>
        <v>0.36580846856005411</v>
      </c>
      <c r="O120">
        <f t="shared" si="20"/>
        <v>0.42979434629306479</v>
      </c>
      <c r="P120">
        <f t="shared" si="28"/>
        <v>-0.17394925666017844</v>
      </c>
      <c r="Q120">
        <f t="shared" si="29"/>
        <v>-1.0238453264289626</v>
      </c>
      <c r="R120">
        <f t="shared" si="21"/>
        <v>-1.1909225393478249</v>
      </c>
      <c r="S120">
        <f t="shared" si="22"/>
        <v>2.0396043979052259E-2</v>
      </c>
      <c r="U120" s="15">
        <f t="shared" si="30"/>
        <v>1.1400000000000008</v>
      </c>
      <c r="V120">
        <f t="shared" si="35"/>
        <v>19.867399530857814</v>
      </c>
      <c r="W120">
        <f t="shared" si="23"/>
        <v>0.13260046914218648</v>
      </c>
      <c r="X120">
        <f t="shared" si="31"/>
        <v>5.7012343026941563</v>
      </c>
      <c r="Y120">
        <f t="shared" si="32"/>
        <v>-0.37826597371903858</v>
      </c>
      <c r="Z120">
        <f t="shared" si="24"/>
        <v>0.36580846856005411</v>
      </c>
      <c r="AA120">
        <f t="shared" si="25"/>
        <v>0.7956028148531189</v>
      </c>
    </row>
    <row r="121" spans="8:27" x14ac:dyDescent="0.25">
      <c r="H121" s="15">
        <f t="shared" si="26"/>
        <v>1.1500000000000008</v>
      </c>
      <c r="I121" s="9">
        <f t="shared" si="19"/>
        <v>46.138835096321841</v>
      </c>
      <c r="J121">
        <f t="shared" si="33"/>
        <v>46.249005686531049</v>
      </c>
      <c r="K121">
        <f t="shared" si="36"/>
        <v>49.811254421745176</v>
      </c>
      <c r="M121" s="15">
        <f t="shared" si="27"/>
        <v>1.1500000000000008</v>
      </c>
      <c r="N121">
        <f t="shared" si="34"/>
        <v>0.35389924316657584</v>
      </c>
      <c r="O121">
        <f t="shared" si="20"/>
        <v>0.41975506357294023</v>
      </c>
      <c r="P121">
        <f t="shared" si="28"/>
        <v>-0.1697015096108484</v>
      </c>
      <c r="Q121">
        <f t="shared" si="29"/>
        <v>-1.0039282720124554</v>
      </c>
      <c r="R121">
        <f t="shared" si="21"/>
        <v>-1.1393235704900935</v>
      </c>
      <c r="S121">
        <f t="shared" si="22"/>
        <v>1.9036703628486085E-2</v>
      </c>
      <c r="U121" s="15">
        <f t="shared" si="30"/>
        <v>1.1500000000000008</v>
      </c>
      <c r="V121">
        <f t="shared" si="35"/>
        <v>19.871057615543414</v>
      </c>
      <c r="W121">
        <f t="shared" si="23"/>
        <v>0.12894238445658601</v>
      </c>
      <c r="X121">
        <f t="shared" si="31"/>
        <v>5.7025420169621501</v>
      </c>
      <c r="Y121">
        <f t="shared" si="32"/>
        <v>-0.36580846856004712</v>
      </c>
      <c r="Z121">
        <f t="shared" si="24"/>
        <v>0.35389924316657584</v>
      </c>
      <c r="AA121">
        <f t="shared" si="25"/>
        <v>0.77365430673951607</v>
      </c>
    </row>
    <row r="122" spans="8:27" x14ac:dyDescent="0.25">
      <c r="H122" s="15">
        <f t="shared" si="26"/>
        <v>1.1600000000000008</v>
      </c>
      <c r="I122" s="9">
        <f t="shared" si="19"/>
        <v>46.223872962979151</v>
      </c>
      <c r="J122">
        <f t="shared" si="33"/>
        <v>46.332540462936926</v>
      </c>
      <c r="K122">
        <f t="shared" si="36"/>
        <v>49.815457792467576</v>
      </c>
      <c r="M122" s="15">
        <f t="shared" si="27"/>
        <v>1.1600000000000008</v>
      </c>
      <c r="N122">
        <f t="shared" si="34"/>
        <v>0.34250600746167492</v>
      </c>
      <c r="O122">
        <f t="shared" si="20"/>
        <v>0.40991434468785315</v>
      </c>
      <c r="P122">
        <f t="shared" si="28"/>
        <v>-0.16555316256954444</v>
      </c>
      <c r="Q122">
        <f t="shared" si="29"/>
        <v>-0.98407188850870853</v>
      </c>
      <c r="R122">
        <f t="shared" si="21"/>
        <v>-1.0907273483991504</v>
      </c>
      <c r="S122">
        <f t="shared" si="22"/>
        <v>1.7777842357103002E-2</v>
      </c>
      <c r="U122" s="15">
        <f t="shared" si="30"/>
        <v>1.1600000000000008</v>
      </c>
      <c r="V122">
        <f t="shared" si="35"/>
        <v>19.874596607975079</v>
      </c>
      <c r="W122">
        <f t="shared" si="23"/>
        <v>0.12540339202492135</v>
      </c>
      <c r="X122">
        <f t="shared" si="31"/>
        <v>5.7038137458445579</v>
      </c>
      <c r="Y122">
        <f t="shared" si="32"/>
        <v>-0.3538992431664667</v>
      </c>
      <c r="Z122">
        <f t="shared" si="24"/>
        <v>0.34250600746167492</v>
      </c>
      <c r="AA122">
        <f t="shared" si="25"/>
        <v>0.75242035214952807</v>
      </c>
    </row>
    <row r="123" spans="8:27" x14ac:dyDescent="0.25">
      <c r="H123" s="15">
        <f t="shared" si="26"/>
        <v>1.1700000000000008</v>
      </c>
      <c r="I123" s="9">
        <f t="shared" si="19"/>
        <v>46.30703796511343</v>
      </c>
      <c r="J123">
        <f t="shared" si="33"/>
        <v>46.41421491690933</v>
      </c>
      <c r="K123">
        <f t="shared" si="36"/>
        <v>49.819567553974892</v>
      </c>
      <c r="M123" s="15">
        <f t="shared" si="27"/>
        <v>1.1700000000000008</v>
      </c>
      <c r="N123">
        <f t="shared" si="34"/>
        <v>0.33159873397768341</v>
      </c>
      <c r="O123">
        <f t="shared" si="20"/>
        <v>0.40027125772415156</v>
      </c>
      <c r="P123">
        <f t="shared" si="28"/>
        <v>-0.16150223455748441</v>
      </c>
      <c r="Q123">
        <f t="shared" si="29"/>
        <v>-0.96430869637015859</v>
      </c>
      <c r="R123">
        <f t="shared" si="21"/>
        <v>-1.0449246597395965</v>
      </c>
      <c r="S123">
        <f t="shared" si="22"/>
        <v>1.6611744302820475E-2</v>
      </c>
      <c r="U123" s="15">
        <f t="shared" si="30"/>
        <v>1.1700000000000008</v>
      </c>
      <c r="V123">
        <f t="shared" si="35"/>
        <v>19.878021668049694</v>
      </c>
      <c r="W123">
        <f t="shared" si="23"/>
        <v>0.12197833195030583</v>
      </c>
      <c r="X123">
        <f t="shared" si="31"/>
        <v>5.7050506544644337</v>
      </c>
      <c r="Y123">
        <f t="shared" si="32"/>
        <v>-0.34250600746155158</v>
      </c>
      <c r="Z123">
        <f t="shared" si="24"/>
        <v>0.33159873397768341</v>
      </c>
      <c r="AA123">
        <f t="shared" si="25"/>
        <v>0.73186999170183498</v>
      </c>
    </row>
    <row r="124" spans="8:27" x14ac:dyDescent="0.25">
      <c r="H124" s="15">
        <f t="shared" si="26"/>
        <v>1.1800000000000008</v>
      </c>
      <c r="I124" s="9">
        <f t="shared" si="19"/>
        <v>46.388371350484775</v>
      </c>
      <c r="J124">
        <f t="shared" si="33"/>
        <v>46.494070477894837</v>
      </c>
      <c r="K124">
        <f t="shared" si="36"/>
        <v>49.823585790947675</v>
      </c>
      <c r="M124" s="15">
        <f t="shared" si="27"/>
        <v>1.1800000000000008</v>
      </c>
      <c r="N124">
        <f t="shared" si="34"/>
        <v>0.32114948738028742</v>
      </c>
      <c r="O124">
        <f t="shared" si="20"/>
        <v>0.3908245802828762</v>
      </c>
      <c r="P124">
        <f t="shared" si="28"/>
        <v>-0.15754675536744928</v>
      </c>
      <c r="Q124">
        <f t="shared" si="29"/>
        <v>-0.9446677441275364</v>
      </c>
      <c r="R124">
        <f t="shared" si="21"/>
        <v>-1.0017220211663436</v>
      </c>
      <c r="S124">
        <f t="shared" si="22"/>
        <v>1.553129371276929E-2</v>
      </c>
      <c r="U124" s="15">
        <f t="shared" si="30"/>
        <v>1.1800000000000008</v>
      </c>
      <c r="V124">
        <f t="shared" si="35"/>
        <v>19.881337655389473</v>
      </c>
      <c r="W124">
        <f t="shared" si="23"/>
        <v>0.11866234461052727</v>
      </c>
      <c r="X124">
        <f t="shared" si="31"/>
        <v>5.7062538578472379</v>
      </c>
      <c r="Y124">
        <f t="shared" si="32"/>
        <v>-0.33159873397785589</v>
      </c>
      <c r="Z124">
        <f t="shared" si="24"/>
        <v>0.32114948738028742</v>
      </c>
      <c r="AA124">
        <f t="shared" si="25"/>
        <v>0.71197406766316362</v>
      </c>
    </row>
    <row r="125" spans="8:27" x14ac:dyDescent="0.25">
      <c r="H125" s="15">
        <f t="shared" si="26"/>
        <v>1.1900000000000008</v>
      </c>
      <c r="I125" s="9">
        <f t="shared" si="19"/>
        <v>46.467913458417165</v>
      </c>
      <c r="J125">
        <f t="shared" si="33"/>
        <v>46.572147652704778</v>
      </c>
      <c r="K125">
        <f t="shared" si="36"/>
        <v>49.827514541640546</v>
      </c>
      <c r="M125" s="15">
        <f t="shared" si="27"/>
        <v>1.1900000000000008</v>
      </c>
      <c r="N125">
        <f t="shared" si="34"/>
        <v>0.31113226716862397</v>
      </c>
      <c r="O125">
        <f t="shared" si="20"/>
        <v>0.38157283125172359</v>
      </c>
      <c r="P125">
        <f t="shared" si="28"/>
        <v>-0.15368476830977629</v>
      </c>
      <c r="Q125">
        <f t="shared" si="29"/>
        <v>-0.92517490311526118</v>
      </c>
      <c r="R125">
        <f t="shared" si="21"/>
        <v>-0.96094046442117176</v>
      </c>
      <c r="S125">
        <f t="shared" si="22"/>
        <v>1.4529928076586873E-2</v>
      </c>
      <c r="U125" s="15">
        <f t="shared" si="30"/>
        <v>1.1900000000000008</v>
      </c>
      <c r="V125">
        <f t="shared" si="35"/>
        <v>19.884549150263275</v>
      </c>
      <c r="W125">
        <f t="shared" si="23"/>
        <v>0.11545084973672459</v>
      </c>
      <c r="X125">
        <f t="shared" si="31"/>
        <v>5.7074244238189742</v>
      </c>
      <c r="Y125">
        <f t="shared" si="32"/>
        <v>-0.32114948738026783</v>
      </c>
      <c r="Z125">
        <f t="shared" si="24"/>
        <v>0.31113226716862397</v>
      </c>
      <c r="AA125">
        <f t="shared" si="25"/>
        <v>0.69270509842034755</v>
      </c>
    </row>
    <row r="126" spans="8:27" x14ac:dyDescent="0.25">
      <c r="H126" s="15">
        <f t="shared" si="26"/>
        <v>1.2000000000000008</v>
      </c>
      <c r="I126" s="9">
        <f t="shared" si="19"/>
        <v>46.545703739805838</v>
      </c>
      <c r="J126">
        <f t="shared" si="33"/>
        <v>46.648486046062366</v>
      </c>
      <c r="K126">
        <f t="shared" si="36"/>
        <v>49.831355798916142</v>
      </c>
      <c r="M126" s="15">
        <f t="shared" si="27"/>
        <v>1.2000000000000008</v>
      </c>
      <c r="N126">
        <f t="shared" si="34"/>
        <v>0.30152286252441224</v>
      </c>
      <c r="O126">
        <f t="shared" si="20"/>
        <v>0.37251429986582257</v>
      </c>
      <c r="P126">
        <f t="shared" si="28"/>
        <v>-0.14991433265418855</v>
      </c>
      <c r="Q126">
        <f t="shared" si="29"/>
        <v>-0.90585313859010141</v>
      </c>
      <c r="R126">
        <f t="shared" si="21"/>
        <v>-0.922414416106072</v>
      </c>
      <c r="S126">
        <f t="shared" si="22"/>
        <v>1.3601594925198579E-2</v>
      </c>
      <c r="U126" s="15">
        <f t="shared" si="30"/>
        <v>1.2000000000000008</v>
      </c>
      <c r="V126">
        <f t="shared" si="35"/>
        <v>19.887660472934961</v>
      </c>
      <c r="W126">
        <f t="shared" si="23"/>
        <v>0.11233952706503914</v>
      </c>
      <c r="X126">
        <f t="shared" si="31"/>
        <v>5.7085633757029832</v>
      </c>
      <c r="Y126">
        <f t="shared" si="32"/>
        <v>-0.3111322671685457</v>
      </c>
      <c r="Z126">
        <f t="shared" si="24"/>
        <v>0.30152286252441224</v>
      </c>
      <c r="AA126">
        <f t="shared" si="25"/>
        <v>0.67403716239023481</v>
      </c>
    </row>
    <row r="127" spans="8:27" x14ac:dyDescent="0.25">
      <c r="H127" s="15">
        <f t="shared" si="26"/>
        <v>1.2100000000000009</v>
      </c>
      <c r="I127" s="9">
        <f t="shared" si="19"/>
        <v>46.621780776683842</v>
      </c>
      <c r="J127">
        <f t="shared" si="33"/>
        <v>46.723124380692212</v>
      </c>
      <c r="K127">
        <f t="shared" si="36"/>
        <v>49.83511151125596</v>
      </c>
      <c r="M127" s="15">
        <f t="shared" si="27"/>
        <v>1.2100000000000009</v>
      </c>
      <c r="N127">
        <f t="shared" si="34"/>
        <v>0.29229871836335153</v>
      </c>
      <c r="O127">
        <f t="shared" si="20"/>
        <v>0.36364707227541626</v>
      </c>
      <c r="P127">
        <f t="shared" si="28"/>
        <v>-0.14623352579348237</v>
      </c>
      <c r="Q127">
        <f t="shared" si="29"/>
        <v>-0.88672275904063125</v>
      </c>
      <c r="R127">
        <f t="shared" si="21"/>
        <v>-0.88599066471003363</v>
      </c>
      <c r="S127">
        <f t="shared" si="22"/>
        <v>1.2740712006985622E-2</v>
      </c>
      <c r="U127" s="15">
        <f t="shared" si="30"/>
        <v>1.2100000000000009</v>
      </c>
      <c r="V127">
        <f t="shared" si="35"/>
        <v>19.890675701560205</v>
      </c>
      <c r="W127">
        <f t="shared" si="23"/>
        <v>0.10932429843979463</v>
      </c>
      <c r="X127">
        <f t="shared" si="31"/>
        <v>5.7096716948305071</v>
      </c>
      <c r="Y127">
        <f t="shared" si="32"/>
        <v>-0.30152286252445037</v>
      </c>
      <c r="Z127">
        <f t="shared" si="24"/>
        <v>0.29229871836335153</v>
      </c>
      <c r="AA127">
        <f t="shared" si="25"/>
        <v>0.65594579063876779</v>
      </c>
    </row>
    <row r="128" spans="8:27" x14ac:dyDescent="0.25">
      <c r="H128" s="15">
        <f t="shared" si="26"/>
        <v>1.2200000000000009</v>
      </c>
      <c r="I128" s="9">
        <f t="shared" si="19"/>
        <v>46.696182301357865</v>
      </c>
      <c r="J128">
        <f t="shared" si="33"/>
        <v>46.79610051696249</v>
      </c>
      <c r="K128">
        <f t="shared" si="36"/>
        <v>49.838783583748757</v>
      </c>
      <c r="M128" s="15">
        <f t="shared" si="27"/>
        <v>1.2200000000000009</v>
      </c>
      <c r="N128">
        <f t="shared" si="34"/>
        <v>0.28343881171625118</v>
      </c>
      <c r="O128">
        <f t="shared" si="20"/>
        <v>0.35496905582071103</v>
      </c>
      <c r="P128">
        <f t="shared" si="28"/>
        <v>-0.14264044515300173</v>
      </c>
      <c r="Q128">
        <f t="shared" si="29"/>
        <v>-0.86780164547052285</v>
      </c>
      <c r="R128">
        <f t="shared" si="21"/>
        <v>-0.8515274080934363</v>
      </c>
      <c r="S128">
        <f t="shared" si="22"/>
        <v>1.1942130578291743E-2</v>
      </c>
      <c r="U128" s="15">
        <f t="shared" si="30"/>
        <v>1.2200000000000009</v>
      </c>
      <c r="V128">
        <f t="shared" si="35"/>
        <v>19.89359868874384</v>
      </c>
      <c r="W128">
        <f t="shared" si="23"/>
        <v>0.10640131125616037</v>
      </c>
      <c r="X128">
        <f t="shared" si="31"/>
        <v>5.7107503228789867</v>
      </c>
      <c r="Y128">
        <f t="shared" si="32"/>
        <v>-0.29229871836342625</v>
      </c>
      <c r="Z128">
        <f t="shared" si="24"/>
        <v>0.28343881171625118</v>
      </c>
      <c r="AA128">
        <f t="shared" si="25"/>
        <v>0.63840786753696221</v>
      </c>
    </row>
    <row r="129" spans="8:27" x14ac:dyDescent="0.25">
      <c r="H129" s="15">
        <f t="shared" si="26"/>
        <v>1.2300000000000009</v>
      </c>
      <c r="I129" s="9">
        <f t="shared" si="19"/>
        <v>46.768945215122443</v>
      </c>
      <c r="J129">
        <f t="shared" si="33"/>
        <v>46.86745147208962</v>
      </c>
      <c r="K129">
        <f t="shared" si="36"/>
        <v>49.842373879056893</v>
      </c>
      <c r="M129" s="15">
        <f t="shared" si="27"/>
        <v>1.2300000000000009</v>
      </c>
      <c r="N129">
        <f t="shared" si="34"/>
        <v>0.27492353763531679</v>
      </c>
      <c r="O129">
        <f t="shared" si="20"/>
        <v>0.34647800119867628</v>
      </c>
      <c r="P129">
        <f t="shared" si="28"/>
        <v>-0.13913320986790478</v>
      </c>
      <c r="Q129">
        <f t="shared" si="29"/>
        <v>-0.84910546220347549</v>
      </c>
      <c r="R129">
        <f t="shared" si="21"/>
        <v>-0.81889337513579175</v>
      </c>
      <c r="S129">
        <f t="shared" si="22"/>
        <v>1.1201101564206117E-2</v>
      </c>
      <c r="U129" s="15">
        <f t="shared" si="30"/>
        <v>1.2300000000000009</v>
      </c>
      <c r="V129">
        <f t="shared" si="35"/>
        <v>19.896433076861001</v>
      </c>
      <c r="W129">
        <f t="shared" si="23"/>
        <v>0.10356692313899885</v>
      </c>
      <c r="X129">
        <f t="shared" si="31"/>
        <v>5.7118001640509624</v>
      </c>
      <c r="Y129">
        <f t="shared" si="32"/>
        <v>-0.28343881171615237</v>
      </c>
      <c r="Z129">
        <f t="shared" si="24"/>
        <v>0.27492353763531679</v>
      </c>
      <c r="AA129">
        <f t="shared" si="25"/>
        <v>0.62140153883399307</v>
      </c>
    </row>
    <row r="130" spans="8:27" x14ac:dyDescent="0.25">
      <c r="H130" s="15">
        <f t="shared" si="26"/>
        <v>1.2400000000000009</v>
      </c>
      <c r="I130" s="9">
        <f t="shared" si="19"/>
        <v>46.840105606562112</v>
      </c>
      <c r="J130">
        <f t="shared" si="33"/>
        <v>46.9372134389153</v>
      </c>
      <c r="K130">
        <f t="shared" si="36"/>
        <v>49.845884218361178</v>
      </c>
      <c r="M130" s="15">
        <f t="shared" si="27"/>
        <v>1.2400000000000009</v>
      </c>
      <c r="N130">
        <f t="shared" si="34"/>
        <v>0.26673460388395887</v>
      </c>
      <c r="O130">
        <f t="shared" si="20"/>
        <v>0.33817152269191775</v>
      </c>
      <c r="P130">
        <f t="shared" si="28"/>
        <v>-0.1357099622484518</v>
      </c>
      <c r="Q130">
        <f t="shared" si="29"/>
        <v>-0.83064785067585301</v>
      </c>
      <c r="R130">
        <f t="shared" si="21"/>
        <v>-0.78796701575474382</v>
      </c>
      <c r="S130">
        <f t="shared" si="22"/>
        <v>1.0513244365182028E-2</v>
      </c>
      <c r="U130" s="15">
        <f t="shared" si="30"/>
        <v>1.2400000000000009</v>
      </c>
      <c r="V130">
        <f t="shared" si="35"/>
        <v>19.899182312237354</v>
      </c>
      <c r="W130">
        <f t="shared" si="23"/>
        <v>0.1008176877626461</v>
      </c>
      <c r="X130">
        <f t="shared" si="31"/>
        <v>5.7128220871054705</v>
      </c>
      <c r="Y130">
        <f t="shared" si="32"/>
        <v>-0.27492353763527433</v>
      </c>
      <c r="Z130">
        <f t="shared" si="24"/>
        <v>0.26673460388395887</v>
      </c>
      <c r="AA130">
        <f t="shared" si="25"/>
        <v>0.60490612657587661</v>
      </c>
    </row>
    <row r="131" spans="8:27" x14ac:dyDescent="0.25">
      <c r="H131" s="15">
        <f t="shared" si="26"/>
        <v>1.2500000000000009</v>
      </c>
      <c r="I131" s="9">
        <f t="shared" si="19"/>
        <v>46.909698769450429</v>
      </c>
      <c r="J131">
        <f t="shared" si="33"/>
        <v>47.005421804265374</v>
      </c>
      <c r="K131">
        <f t="shared" si="36"/>
        <v>49.849316382284641</v>
      </c>
      <c r="M131" s="15">
        <f t="shared" si="27"/>
        <v>1.2500000000000009</v>
      </c>
      <c r="N131">
        <f t="shared" si="34"/>
        <v>0.25885493372641144</v>
      </c>
      <c r="O131">
        <f t="shared" si="20"/>
        <v>0.33004711661641983</v>
      </c>
      <c r="P131">
        <f t="shared" si="28"/>
        <v>-0.13236886905191012</v>
      </c>
      <c r="Q131">
        <f t="shared" si="29"/>
        <v>-0.81244060754979142</v>
      </c>
      <c r="R131">
        <f t="shared" si="21"/>
        <v>-0.75863575394975424</v>
      </c>
      <c r="S131">
        <f t="shared" si="22"/>
        <v>9.8745181022088513E-3</v>
      </c>
      <c r="U131" s="15">
        <f t="shared" si="30"/>
        <v>1.2500000000000009</v>
      </c>
      <c r="V131">
        <f t="shared" si="35"/>
        <v>19.901849658276195</v>
      </c>
      <c r="W131">
        <f t="shared" si="23"/>
        <v>9.8150341723805212E-2</v>
      </c>
      <c r="X131">
        <f t="shared" si="31"/>
        <v>5.7138169272529025</v>
      </c>
      <c r="Y131">
        <f t="shared" si="32"/>
        <v>-0.26673460388408898</v>
      </c>
      <c r="Z131">
        <f t="shared" si="24"/>
        <v>0.25885493372641144</v>
      </c>
      <c r="AA131">
        <f t="shared" si="25"/>
        <v>0.58890205034283127</v>
      </c>
    </row>
    <row r="132" spans="8:27" x14ac:dyDescent="0.25">
      <c r="H132" s="15">
        <f t="shared" si="26"/>
        <v>1.2600000000000009</v>
      </c>
      <c r="I132" s="9">
        <f t="shared" si="19"/>
        <v>46.977759220254804</v>
      </c>
      <c r="J132">
        <f t="shared" si="33"/>
        <v>47.072111166899802</v>
      </c>
      <c r="K132">
        <f t="shared" si="36"/>
        <v>49.852672111795798</v>
      </c>
      <c r="M132" s="15">
        <f t="shared" si="27"/>
        <v>1.2600000000000009</v>
      </c>
      <c r="N132">
        <f t="shared" si="34"/>
        <v>0.25126857618691389</v>
      </c>
      <c r="O132">
        <f t="shared" si="20"/>
        <v>0.32210217813232844</v>
      </c>
      <c r="P132">
        <f t="shared" si="28"/>
        <v>-0.12910812257816637</v>
      </c>
      <c r="Q132">
        <f t="shared" si="29"/>
        <v>-0.79449384840913906</v>
      </c>
      <c r="R132">
        <f t="shared" si="21"/>
        <v>-0.73079529895679396</v>
      </c>
      <c r="S132">
        <f t="shared" si="22"/>
        <v>9.2811951102663715E-3</v>
      </c>
      <c r="U132" s="15">
        <f t="shared" si="30"/>
        <v>1.2600000000000009</v>
      </c>
      <c r="V132">
        <f t="shared" si="35"/>
        <v>19.90443820761346</v>
      </c>
      <c r="W132">
        <f t="shared" si="23"/>
        <v>9.556179238654039E-2</v>
      </c>
      <c r="X132">
        <f t="shared" si="31"/>
        <v>5.7147854879234545</v>
      </c>
      <c r="Y132">
        <f t="shared" si="32"/>
        <v>-0.25885493372648227</v>
      </c>
      <c r="Z132">
        <f t="shared" si="24"/>
        <v>0.25126857618691389</v>
      </c>
      <c r="AA132">
        <f t="shared" si="25"/>
        <v>0.57337075431924234</v>
      </c>
    </row>
    <row r="133" spans="8:27" x14ac:dyDescent="0.25">
      <c r="H133" s="15">
        <f t="shared" si="26"/>
        <v>1.2700000000000009</v>
      </c>
      <c r="I133" s="9">
        <f t="shared" si="19"/>
        <v>47.0443207152558</v>
      </c>
      <c r="J133">
        <f t="shared" si="33"/>
        <v>47.137315355062938</v>
      </c>
      <c r="K133">
        <f t="shared" si="36"/>
        <v>49.855953109091715</v>
      </c>
      <c r="M133" s="15">
        <f t="shared" si="27"/>
        <v>1.2700000000000009</v>
      </c>
      <c r="N133">
        <f t="shared" si="34"/>
        <v>0.24396062319734596</v>
      </c>
      <c r="O133">
        <f t="shared" si="20"/>
        <v>0.31433401655068821</v>
      </c>
      <c r="P133">
        <f t="shared" si="28"/>
        <v>-0.12592594160475129</v>
      </c>
      <c r="Q133">
        <f t="shared" si="29"/>
        <v>-0.77681615816402316</v>
      </c>
      <c r="R133">
        <f t="shared" si="21"/>
        <v>-0.70434900997230787</v>
      </c>
      <c r="S133">
        <f t="shared" si="22"/>
        <v>8.7298365040203163E-3</v>
      </c>
      <c r="U133" s="15">
        <f t="shared" si="30"/>
        <v>1.2700000000000009</v>
      </c>
      <c r="V133">
        <f t="shared" si="35"/>
        <v>19.906950893375328</v>
      </c>
      <c r="W133">
        <f t="shared" si="23"/>
        <v>9.3049106624672362E-2</v>
      </c>
      <c r="X133">
        <f t="shared" si="31"/>
        <v>5.7157285424185105</v>
      </c>
      <c r="Y133">
        <f t="shared" si="32"/>
        <v>-0.25126857618680276</v>
      </c>
      <c r="Z133">
        <f t="shared" si="24"/>
        <v>0.24396062319734596</v>
      </c>
      <c r="AA133">
        <f t="shared" si="25"/>
        <v>0.55829463974803417</v>
      </c>
    </row>
    <row r="134" spans="8:27" x14ac:dyDescent="0.25">
      <c r="H134" s="15">
        <f t="shared" si="26"/>
        <v>1.2800000000000009</v>
      </c>
      <c r="I134" s="9">
        <f t="shared" si="19"/>
        <v>47.10941626728944</v>
      </c>
      <c r="J134">
        <f t="shared" si="33"/>
        <v>47.201067443642941</v>
      </c>
      <c r="K134">
        <f t="shared" si="36"/>
        <v>49.85916103846148</v>
      </c>
      <c r="M134" s="15">
        <f t="shared" si="27"/>
        <v>1.2800000000000009</v>
      </c>
      <c r="N134">
        <f t="shared" si="34"/>
        <v>0.23691713309762288</v>
      </c>
      <c r="O134">
        <f t="shared" si="20"/>
        <v>0.30673986925856844</v>
      </c>
      <c r="P134">
        <f t="shared" si="28"/>
        <v>-0.12282057217570501</v>
      </c>
      <c r="Q134">
        <f t="shared" si="29"/>
        <v>-0.75941472921197684</v>
      </c>
      <c r="R134">
        <f t="shared" si="21"/>
        <v>-0.67920731026025372</v>
      </c>
      <c r="S134">
        <f t="shared" si="22"/>
        <v>8.2172696535079415E-3</v>
      </c>
      <c r="U134" s="15">
        <f t="shared" si="30"/>
        <v>1.2800000000000009</v>
      </c>
      <c r="V134">
        <f t="shared" si="35"/>
        <v>19.909390499607301</v>
      </c>
      <c r="W134">
        <f t="shared" si="23"/>
        <v>9.060950039269855E-2</v>
      </c>
      <c r="X134">
        <f t="shared" si="31"/>
        <v>5.7166468354535978</v>
      </c>
      <c r="Y134">
        <f t="shared" si="32"/>
        <v>-0.24396062319738121</v>
      </c>
      <c r="Z134">
        <f t="shared" si="24"/>
        <v>0.23691713309762288</v>
      </c>
      <c r="AA134">
        <f t="shared" si="25"/>
        <v>0.5436570023561913</v>
      </c>
    </row>
    <row r="135" spans="8:27" x14ac:dyDescent="0.25">
      <c r="H135" s="15">
        <f t="shared" si="26"/>
        <v>1.2900000000000009</v>
      </c>
      <c r="I135" s="9">
        <f t="shared" ref="I135:I198" si="37">DEGREES(-2*$E$5/$C$6*$C$9/$C$8*$C$18*(1-EXP(-$C$20*H135)))</f>
        <v>47.173078162120667</v>
      </c>
      <c r="J135">
        <f t="shared" si="33"/>
        <v>47.263399770949029</v>
      </c>
      <c r="K135">
        <f t="shared" si="36"/>
        <v>49.862297527130394</v>
      </c>
      <c r="M135" s="15">
        <f t="shared" si="27"/>
        <v>1.2900000000000009</v>
      </c>
      <c r="N135">
        <f t="shared" si="34"/>
        <v>0.23012505999502034</v>
      </c>
      <c r="O135">
        <f t="shared" ref="O135:O198" si="38">AA135-N135</f>
        <v>0.29931691437531549</v>
      </c>
      <c r="P135">
        <f t="shared" si="28"/>
        <v>-0.11979028825753558</v>
      </c>
      <c r="Q135">
        <f t="shared" si="29"/>
        <v>-0.74229548832529524</v>
      </c>
      <c r="R135">
        <f t="shared" ref="R135:R198" si="39">DEGREES($E$6*$C$5*$C$6^2*$E$5/(4*$C$7)*$C$8*RADIANS(N135)+$E$6*$C$5*$C$6*$E$5^2/(2*$C$7)*$C$9*RADIANS(S135))</f>
        <v>-0.65528714678422695</v>
      </c>
      <c r="S135">
        <f t="shared" ref="S135:S198" si="40">MAX(MIN($C$34*O135+$C$35*P135+$C$36*Q135,21.5),-21.5)</f>
        <v>7.7405674202999375E-3</v>
      </c>
      <c r="U135" s="15">
        <f t="shared" si="30"/>
        <v>1.2900000000000009</v>
      </c>
      <c r="V135">
        <f t="shared" si="35"/>
        <v>19.911759670938277</v>
      </c>
      <c r="W135">
        <f t="shared" ref="W135:W198" si="41">$E$9-V135</f>
        <v>8.8240329061722633E-2</v>
      </c>
      <c r="X135">
        <f t="shared" si="31"/>
        <v>5.7175410846008701</v>
      </c>
      <c r="Y135">
        <f t="shared" si="32"/>
        <v>-0.23691713309759166</v>
      </c>
      <c r="Z135">
        <f t="shared" ref="Z135:Z198" si="42">N135</f>
        <v>0.23012505999502034</v>
      </c>
      <c r="AA135">
        <f t="shared" ref="AA135:AA198" si="43">$C$39*W135+$C$40*X135+$C$41*Y135</f>
        <v>0.5294419743703358</v>
      </c>
    </row>
    <row r="136" spans="8:27" x14ac:dyDescent="0.25">
      <c r="H136" s="15">
        <f t="shared" ref="H136:H172" si="44">H135+$E$8</f>
        <v>1.3000000000000009</v>
      </c>
      <c r="I136" s="9">
        <f t="shared" si="37"/>
        <v>47.235337974456371</v>
      </c>
      <c r="J136">
        <f t="shared" si="33"/>
        <v>47.324343955115125</v>
      </c>
      <c r="K136">
        <f t="shared" si="36"/>
        <v>49.865364166085399</v>
      </c>
      <c r="M136" s="15">
        <f t="shared" ref="M136:M172" si="45">M135+$E$8</f>
        <v>1.3000000000000009</v>
      </c>
      <c r="N136">
        <f t="shared" si="34"/>
        <v>0.22357218852717806</v>
      </c>
      <c r="O136">
        <f t="shared" si="38"/>
        <v>0.29206228224346431</v>
      </c>
      <c r="P136">
        <f t="shared" ref="P136:P199" si="46">IF(ABS(S135)&gt;21, P135, P135+(O136+O135)*$E$8/2)</f>
        <v>-0.11683339227444169</v>
      </c>
      <c r="Q136">
        <f t="shared" ref="Q136:Q199" si="47">(O136-O135)/$E$8</f>
        <v>-0.72546321318511797</v>
      </c>
      <c r="R136">
        <f t="shared" si="39"/>
        <v>-0.63251149182331545</v>
      </c>
      <c r="S136">
        <f t="shared" si="40"/>
        <v>7.2970290171310292E-3</v>
      </c>
      <c r="U136" s="15">
        <f t="shared" ref="U136:U172" si="48">U135+$E$8</f>
        <v>1.3000000000000009</v>
      </c>
      <c r="V136">
        <f t="shared" si="35"/>
        <v>19.914060921538226</v>
      </c>
      <c r="W136">
        <f t="shared" si="41"/>
        <v>8.5939078461773732E-2</v>
      </c>
      <c r="X136">
        <f t="shared" ref="X136:X199" si="49">X135+(W136+W135)*$E$8/2</f>
        <v>5.7184119816384875</v>
      </c>
      <c r="Y136">
        <f t="shared" ref="Y136:Y199" si="50">(W136-W135)/$E$8</f>
        <v>-0.23012505999489008</v>
      </c>
      <c r="Z136">
        <f t="shared" si="42"/>
        <v>0.22357218852717806</v>
      </c>
      <c r="AA136">
        <f t="shared" si="43"/>
        <v>0.51563447077064239</v>
      </c>
    </row>
    <row r="137" spans="8:27" x14ac:dyDescent="0.25">
      <c r="H137" s="15">
        <f t="shared" si="44"/>
        <v>1.3100000000000009</v>
      </c>
      <c r="I137" s="9">
        <f t="shared" si="37"/>
        <v>47.296226583605574</v>
      </c>
      <c r="J137">
        <f t="shared" ref="J137:J200" si="51">J136+$E$8*DEGREES($E$6*$C$5*$C$6^2*$E$5/(4*$C$7)*$C$8*RADIANS(J136) +$E$6*$C$5*$C$6*$E$5^2/(2*$C$7)*$C$9*$C$18)</f>
        <v>47.383930910138204</v>
      </c>
      <c r="K137">
        <f t="shared" si="36"/>
        <v>49.868362510882108</v>
      </c>
      <c r="M137" s="15">
        <f t="shared" si="45"/>
        <v>1.3100000000000009</v>
      </c>
      <c r="N137">
        <f t="shared" ref="N137:N200" si="52">N136+$E$8*R136</f>
        <v>0.21724707360894491</v>
      </c>
      <c r="O137">
        <f t="shared" si="38"/>
        <v>0.28497306585007487</v>
      </c>
      <c r="P137">
        <f t="shared" si="46"/>
        <v>-0.113948215533974</v>
      </c>
      <c r="Q137">
        <f t="shared" si="47"/>
        <v>-0.70892163933894414</v>
      </c>
      <c r="R137">
        <f t="shared" si="39"/>
        <v>-0.61080888327739391</v>
      </c>
      <c r="S137">
        <f t="shared" si="40"/>
        <v>6.8841623631096249E-3</v>
      </c>
      <c r="U137" s="15">
        <f t="shared" si="48"/>
        <v>1.3100000000000009</v>
      </c>
      <c r="V137">
        <f t="shared" ref="V137:V200" si="53">V136+$E$8*Z136</f>
        <v>19.916296643423497</v>
      </c>
      <c r="W137">
        <f t="shared" si="41"/>
        <v>8.3703356576503296E-2</v>
      </c>
      <c r="X137">
        <f t="shared" si="49"/>
        <v>5.7192601938136791</v>
      </c>
      <c r="Y137">
        <f t="shared" si="50"/>
        <v>-0.22357218852704364</v>
      </c>
      <c r="Z137">
        <f t="shared" si="42"/>
        <v>0.21724707360894491</v>
      </c>
      <c r="AA137">
        <f t="shared" si="43"/>
        <v>0.50222013945901978</v>
      </c>
    </row>
    <row r="138" spans="8:27" x14ac:dyDescent="0.25">
      <c r="H138" s="15">
        <f t="shared" si="44"/>
        <v>1.320000000000001</v>
      </c>
      <c r="I138" s="9">
        <f t="shared" si="37"/>
        <v>47.35577418879484</v>
      </c>
      <c r="J138">
        <f t="shared" si="51"/>
        <v>47.442190861559411</v>
      </c>
      <c r="K138">
        <f t="shared" si="36"/>
        <v>49.871294082433842</v>
      </c>
      <c r="M138" s="15">
        <f t="shared" si="45"/>
        <v>1.320000000000001</v>
      </c>
      <c r="N138">
        <f t="shared" si="52"/>
        <v>0.21113898477617096</v>
      </c>
      <c r="O138">
        <f t="shared" si="38"/>
        <v>0.27804633026631975</v>
      </c>
      <c r="P138">
        <f t="shared" si="46"/>
        <v>-0.11113311855339202</v>
      </c>
      <c r="Q138">
        <f t="shared" si="47"/>
        <v>-0.6926735583755117</v>
      </c>
      <c r="R138">
        <f t="shared" si="39"/>
        <v>-0.59011300065233352</v>
      </c>
      <c r="S138">
        <f t="shared" si="40"/>
        <v>6.4996678180756495E-3</v>
      </c>
      <c r="U138" s="15">
        <f t="shared" si="48"/>
        <v>1.320000000000001</v>
      </c>
      <c r="V138">
        <f t="shared" si="53"/>
        <v>19.918469114159585</v>
      </c>
      <c r="W138">
        <f t="shared" si="41"/>
        <v>8.1530885840415124E-2</v>
      </c>
      <c r="X138">
        <f t="shared" si="49"/>
        <v>5.7200863650257636</v>
      </c>
      <c r="Y138">
        <f t="shared" si="50"/>
        <v>-0.21724707360881723</v>
      </c>
      <c r="Z138">
        <f t="shared" si="42"/>
        <v>0.21113898477617096</v>
      </c>
      <c r="AA138">
        <f t="shared" si="43"/>
        <v>0.48918531504249074</v>
      </c>
    </row>
    <row r="139" spans="8:27" x14ac:dyDescent="0.25">
      <c r="H139" s="15">
        <f t="shared" si="44"/>
        <v>1.330000000000001</v>
      </c>
      <c r="I139" s="9">
        <f t="shared" si="37"/>
        <v>47.414010324146346</v>
      </c>
      <c r="J139">
        <f t="shared" si="51"/>
        <v>47.499153361796033</v>
      </c>
      <c r="K139">
        <f t="shared" si="36"/>
        <v>49.874160367783141</v>
      </c>
      <c r="M139" s="15">
        <f t="shared" si="45"/>
        <v>1.330000000000001</v>
      </c>
      <c r="N139">
        <f t="shared" si="52"/>
        <v>0.20523785476964762</v>
      </c>
      <c r="O139">
        <f t="shared" si="38"/>
        <v>0.27127912118626951</v>
      </c>
      <c r="P139">
        <f t="shared" si="46"/>
        <v>-0.10838649129612907</v>
      </c>
      <c r="Q139">
        <f t="shared" si="47"/>
        <v>-0.67672090800502405</v>
      </c>
      <c r="R139">
        <f t="shared" si="39"/>
        <v>-0.57036227393907368</v>
      </c>
      <c r="S139">
        <f t="shared" si="40"/>
        <v>6.1414231881565806E-3</v>
      </c>
      <c r="U139" s="15">
        <f t="shared" si="48"/>
        <v>1.330000000000001</v>
      </c>
      <c r="V139">
        <f t="shared" si="53"/>
        <v>19.920580504007347</v>
      </c>
      <c r="W139">
        <f t="shared" si="41"/>
        <v>7.9419495992652855E-2</v>
      </c>
      <c r="X139">
        <f t="shared" si="49"/>
        <v>5.7208911169349292</v>
      </c>
      <c r="Y139">
        <f t="shared" si="50"/>
        <v>-0.21113898477622683</v>
      </c>
      <c r="Z139">
        <f t="shared" si="42"/>
        <v>0.20523785476964762</v>
      </c>
      <c r="AA139">
        <f t="shared" si="43"/>
        <v>0.47651697595591713</v>
      </c>
    </row>
    <row r="140" spans="8:27" x14ac:dyDescent="0.25">
      <c r="H140" s="15">
        <f t="shared" si="44"/>
        <v>1.340000000000001</v>
      </c>
      <c r="I140" s="9">
        <f t="shared" si="37"/>
        <v>47.470963873325992</v>
      </c>
      <c r="J140">
        <f t="shared" si="51"/>
        <v>47.554847305131965</v>
      </c>
      <c r="K140">
        <f t="shared" si="36"/>
        <v>49.876962820856043</v>
      </c>
      <c r="M140" s="15">
        <f t="shared" si="45"/>
        <v>1.340000000000001</v>
      </c>
      <c r="N140">
        <f t="shared" si="52"/>
        <v>0.19953423203025689</v>
      </c>
      <c r="O140">
        <f t="shared" si="38"/>
        <v>0.26466847263948812</v>
      </c>
      <c r="P140">
        <f t="shared" si="46"/>
        <v>-0.10570675332700027</v>
      </c>
      <c r="Q140">
        <f t="shared" si="47"/>
        <v>-0.66106485467813947</v>
      </c>
      <c r="R140">
        <f t="shared" si="39"/>
        <v>-0.55149952281446413</v>
      </c>
      <c r="S140">
        <f t="shared" si="40"/>
        <v>5.8074699028065613E-3</v>
      </c>
      <c r="U140" s="15">
        <f t="shared" si="48"/>
        <v>1.340000000000001</v>
      </c>
      <c r="V140">
        <f t="shared" si="53"/>
        <v>19.922632882555042</v>
      </c>
      <c r="W140">
        <f t="shared" si="41"/>
        <v>7.7367117444957501E-2</v>
      </c>
      <c r="X140">
        <f t="shared" si="49"/>
        <v>5.7216750500021174</v>
      </c>
      <c r="Y140">
        <f t="shared" si="50"/>
        <v>-0.20523785476953549</v>
      </c>
      <c r="Z140">
        <f t="shared" si="42"/>
        <v>0.19953423203025689</v>
      </c>
      <c r="AA140">
        <f t="shared" si="43"/>
        <v>0.464202704669745</v>
      </c>
    </row>
    <row r="141" spans="8:27" x14ac:dyDescent="0.25">
      <c r="H141" s="15">
        <f t="shared" si="44"/>
        <v>1.350000000000001</v>
      </c>
      <c r="I141" s="9">
        <f t="shared" si="37"/>
        <v>47.526663083869096</v>
      </c>
      <c r="J141">
        <f t="shared" si="51"/>
        <v>47.609300942374389</v>
      </c>
      <c r="K141">
        <f t="shared" si="36"/>
        <v>49.879702863199611</v>
      </c>
      <c r="M141" s="15">
        <f t="shared" si="45"/>
        <v>1.350000000000001</v>
      </c>
      <c r="N141">
        <f t="shared" si="52"/>
        <v>0.19401923680211225</v>
      </c>
      <c r="O141">
        <f t="shared" si="38"/>
        <v>0.25821141394581631</v>
      </c>
      <c r="P141">
        <f t="shared" si="46"/>
        <v>-0.10309235389407376</v>
      </c>
      <c r="Q141">
        <f t="shared" si="47"/>
        <v>-0.64570586936718022</v>
      </c>
      <c r="R141">
        <f t="shared" si="39"/>
        <v>-0.53347162381131163</v>
      </c>
      <c r="S141">
        <f t="shared" si="40"/>
        <v>5.4960002724079859E-3</v>
      </c>
      <c r="U141" s="15">
        <f t="shared" si="48"/>
        <v>1.350000000000001</v>
      </c>
      <c r="V141">
        <f t="shared" si="53"/>
        <v>19.924628224875345</v>
      </c>
      <c r="W141">
        <f t="shared" si="41"/>
        <v>7.5371775124654761E-2</v>
      </c>
      <c r="X141">
        <f t="shared" si="49"/>
        <v>5.7224387444649656</v>
      </c>
      <c r="Y141">
        <f t="shared" si="50"/>
        <v>-0.19953423203027398</v>
      </c>
      <c r="Z141">
        <f t="shared" si="42"/>
        <v>0.19401923680211225</v>
      </c>
      <c r="AA141">
        <f t="shared" si="43"/>
        <v>0.45223065074792856</v>
      </c>
    </row>
    <row r="142" spans="8:27" x14ac:dyDescent="0.25">
      <c r="H142" s="15">
        <f t="shared" si="44"/>
        <v>1.360000000000001</v>
      </c>
      <c r="I142" s="9">
        <f t="shared" si="37"/>
        <v>47.581135581190345</v>
      </c>
      <c r="J142">
        <f t="shared" si="51"/>
        <v>47.662541895183992</v>
      </c>
      <c r="K142">
        <f t="shared" si="36"/>
        <v>49.882381884703001</v>
      </c>
      <c r="M142" s="15">
        <f t="shared" si="45"/>
        <v>1.360000000000001</v>
      </c>
      <c r="N142">
        <f t="shared" si="52"/>
        <v>0.18868452056399912</v>
      </c>
      <c r="O142">
        <f t="shared" si="38"/>
        <v>0.25190497597580142</v>
      </c>
      <c r="P142">
        <f t="shared" si="46"/>
        <v>-0.10054177194446567</v>
      </c>
      <c r="Q142">
        <f t="shared" si="47"/>
        <v>-0.63064379700148998</v>
      </c>
      <c r="R142">
        <f t="shared" si="39"/>
        <v>-0.51622920325385158</v>
      </c>
      <c r="S142">
        <f t="shared" si="40"/>
        <v>5.2053457407404413E-3</v>
      </c>
      <c r="U142" s="15">
        <f t="shared" si="48"/>
        <v>1.360000000000001</v>
      </c>
      <c r="V142">
        <f t="shared" si="53"/>
        <v>19.926568417243367</v>
      </c>
      <c r="W142">
        <f t="shared" si="41"/>
        <v>7.3431582756633418E-2</v>
      </c>
      <c r="X142">
        <f t="shared" si="49"/>
        <v>5.723182761254372</v>
      </c>
      <c r="Y142">
        <f t="shared" si="50"/>
        <v>-0.19401923680213429</v>
      </c>
      <c r="Z142">
        <f t="shared" si="42"/>
        <v>0.18868452056399912</v>
      </c>
      <c r="AA142">
        <f t="shared" si="43"/>
        <v>0.44058949653980051</v>
      </c>
    </row>
    <row r="143" spans="8:27" x14ac:dyDescent="0.25">
      <c r="H143" s="15">
        <f t="shared" si="44"/>
        <v>1.370000000000001</v>
      </c>
      <c r="I143" s="9">
        <f t="shared" si="37"/>
        <v>47.634408382285393</v>
      </c>
      <c r="J143">
        <f t="shared" si="51"/>
        <v>47.714597170086108</v>
      </c>
      <c r="K143">
        <f t="shared" si="36"/>
        <v>49.885001244302494</v>
      </c>
      <c r="M143" s="15">
        <f t="shared" si="45"/>
        <v>1.370000000000001</v>
      </c>
      <c r="N143">
        <f t="shared" si="52"/>
        <v>0.18352222853146061</v>
      </c>
      <c r="O143">
        <f t="shared" si="38"/>
        <v>0.24574619677450271</v>
      </c>
      <c r="P143">
        <f t="shared" si="46"/>
        <v>-9.8053516080714151E-2</v>
      </c>
      <c r="Q143">
        <f t="shared" si="47"/>
        <v>-0.6158779201298703</v>
      </c>
      <c r="R143">
        <f t="shared" si="39"/>
        <v>-0.4997263539744492</v>
      </c>
      <c r="S143">
        <f t="shared" si="40"/>
        <v>4.9339660558640475E-3</v>
      </c>
      <c r="U143" s="15">
        <f t="shared" si="48"/>
        <v>1.370000000000001</v>
      </c>
      <c r="V143">
        <f t="shared" si="53"/>
        <v>19.928455262449006</v>
      </c>
      <c r="W143">
        <f t="shared" si="41"/>
        <v>7.1544737550993887E-2</v>
      </c>
      <c r="X143">
        <f t="shared" si="49"/>
        <v>5.7239076428559104</v>
      </c>
      <c r="Y143">
        <f t="shared" si="50"/>
        <v>-0.18868452056395313</v>
      </c>
      <c r="Z143">
        <f t="shared" si="42"/>
        <v>0.18352222853146061</v>
      </c>
      <c r="AA143">
        <f t="shared" si="43"/>
        <v>0.42926842530596332</v>
      </c>
    </row>
    <row r="144" spans="8:27" x14ac:dyDescent="0.25">
      <c r="H144" s="15">
        <f t="shared" si="44"/>
        <v>1.380000000000001</v>
      </c>
      <c r="I144" s="9">
        <f t="shared" si="37"/>
        <v>47.686507909130576</v>
      </c>
      <c r="J144">
        <f t="shared" si="51"/>
        <v>47.765493172169798</v>
      </c>
      <c r="K144">
        <f t="shared" si="36"/>
        <v>49.887562270670799</v>
      </c>
      <c r="M144" s="15">
        <f t="shared" si="45"/>
        <v>1.380000000000001</v>
      </c>
      <c r="N144">
        <f t="shared" si="52"/>
        <v>0.17852496499171611</v>
      </c>
      <c r="O144">
        <f t="shared" si="38"/>
        <v>0.23973212660235543</v>
      </c>
      <c r="P144">
        <f t="shared" si="46"/>
        <v>-9.5626124463829856E-2</v>
      </c>
      <c r="Q144">
        <f t="shared" si="47"/>
        <v>-0.60140701721472789</v>
      </c>
      <c r="R144">
        <f t="shared" si="39"/>
        <v>-0.48392037393832199</v>
      </c>
      <c r="S144">
        <f t="shared" si="40"/>
        <v>4.6804392865856803E-3</v>
      </c>
      <c r="U144" s="15">
        <f t="shared" si="48"/>
        <v>1.380000000000001</v>
      </c>
      <c r="V144">
        <f t="shared" si="53"/>
        <v>19.930290484734321</v>
      </c>
      <c r="W144">
        <f t="shared" si="41"/>
        <v>6.970951526567859E-2</v>
      </c>
      <c r="X144">
        <f t="shared" si="49"/>
        <v>5.7246139141199937</v>
      </c>
      <c r="Y144">
        <f t="shared" si="50"/>
        <v>-0.18352222853152966</v>
      </c>
      <c r="Z144">
        <f t="shared" si="42"/>
        <v>0.17852496499171611</v>
      </c>
      <c r="AA144">
        <f t="shared" si="43"/>
        <v>0.41825709159407154</v>
      </c>
    </row>
    <row r="145" spans="8:27" x14ac:dyDescent="0.25">
      <c r="H145" s="15">
        <f t="shared" si="44"/>
        <v>1.390000000000001</v>
      </c>
      <c r="I145" s="9">
        <f t="shared" si="37"/>
        <v>47.737460001787547</v>
      </c>
      <c r="J145">
        <f t="shared" si="51"/>
        <v>47.815255718481836</v>
      </c>
      <c r="K145">
        <f t="shared" si="36"/>
        <v>49.89006626289104</v>
      </c>
      <c r="M145" s="15">
        <f t="shared" si="45"/>
        <v>1.390000000000001</v>
      </c>
      <c r="N145">
        <f t="shared" si="52"/>
        <v>0.1736857612523329</v>
      </c>
      <c r="O145">
        <f t="shared" si="38"/>
        <v>0.23385983244223865</v>
      </c>
      <c r="P145">
        <f t="shared" si="46"/>
        <v>-9.3258164668606883E-2</v>
      </c>
      <c r="Q145">
        <f t="shared" si="47"/>
        <v>-0.58722941601167811</v>
      </c>
      <c r="R145">
        <f t="shared" si="39"/>
        <v>-0.46877152507388803</v>
      </c>
      <c r="S145">
        <f t="shared" si="40"/>
        <v>4.4434526186738765E-3</v>
      </c>
      <c r="U145" s="15">
        <f t="shared" si="48"/>
        <v>1.390000000000001</v>
      </c>
      <c r="V145">
        <f t="shared" si="53"/>
        <v>19.932075734384238</v>
      </c>
      <c r="W145">
        <f t="shared" si="41"/>
        <v>6.7924265615761925E-2</v>
      </c>
      <c r="X145">
        <f t="shared" si="49"/>
        <v>5.7253020830244008</v>
      </c>
      <c r="Y145">
        <f t="shared" si="50"/>
        <v>-0.17852496499166648</v>
      </c>
      <c r="Z145">
        <f t="shared" si="42"/>
        <v>0.1736857612523329</v>
      </c>
      <c r="AA145">
        <f t="shared" si="43"/>
        <v>0.40754559369457155</v>
      </c>
    </row>
    <row r="146" spans="8:27" x14ac:dyDescent="0.25">
      <c r="H146" s="15">
        <f t="shared" si="44"/>
        <v>1.400000000000001</v>
      </c>
      <c r="I146" s="9">
        <f t="shared" si="37"/>
        <v>47.787289931219341</v>
      </c>
      <c r="J146">
        <f t="shared" si="51"/>
        <v>47.863910051122467</v>
      </c>
      <c r="K146">
        <f t="shared" si="36"/>
        <v>49.892514491115719</v>
      </c>
      <c r="M146" s="15">
        <f t="shared" si="45"/>
        <v>1.400000000000001</v>
      </c>
      <c r="N146">
        <f t="shared" si="52"/>
        <v>0.16899804600159402</v>
      </c>
      <c r="O146">
        <f t="shared" si="38"/>
        <v>0.2281264020178318</v>
      </c>
      <c r="P146">
        <f t="shared" si="46"/>
        <v>-9.0948233496306527E-2</v>
      </c>
      <c r="Q146">
        <f t="shared" si="47"/>
        <v>-0.57334304244068546</v>
      </c>
      <c r="R146">
        <f t="shared" si="39"/>
        <v>-0.45424281074179584</v>
      </c>
      <c r="S146">
        <f t="shared" si="40"/>
        <v>4.2217938702759084E-3</v>
      </c>
      <c r="U146" s="15">
        <f t="shared" si="48"/>
        <v>1.400000000000001</v>
      </c>
      <c r="V146">
        <f t="shared" si="53"/>
        <v>19.933812591996762</v>
      </c>
      <c r="W146">
        <f t="shared" si="41"/>
        <v>6.6187408003237636E-2</v>
      </c>
      <c r="X146">
        <f t="shared" si="49"/>
        <v>5.7259726413924961</v>
      </c>
      <c r="Y146">
        <f t="shared" si="50"/>
        <v>-0.17368576125242896</v>
      </c>
      <c r="Z146">
        <f t="shared" si="42"/>
        <v>0.16899804600159402</v>
      </c>
      <c r="AA146">
        <f t="shared" si="43"/>
        <v>0.39712444801942581</v>
      </c>
    </row>
    <row r="147" spans="8:27" x14ac:dyDescent="0.25">
      <c r="H147" s="15">
        <f t="shared" si="44"/>
        <v>1.410000000000001</v>
      </c>
      <c r="I147" s="9">
        <f t="shared" si="37"/>
        <v>47.836022411824096</v>
      </c>
      <c r="J147">
        <f t="shared" si="51"/>
        <v>47.911480850049458</v>
      </c>
      <c r="K147">
        <f t="shared" si="36"/>
        <v>49.894908197211002</v>
      </c>
      <c r="M147" s="15">
        <f t="shared" si="45"/>
        <v>1.410000000000001</v>
      </c>
      <c r="N147">
        <f t="shared" si="52"/>
        <v>0.16445561789417606</v>
      </c>
      <c r="O147">
        <f t="shared" si="38"/>
        <v>0.22252894736516371</v>
      </c>
      <c r="P147">
        <f t="shared" si="46"/>
        <v>-8.8694956749391554E-2</v>
      </c>
      <c r="Q147">
        <f t="shared" si="47"/>
        <v>-0.55974546526680879</v>
      </c>
      <c r="R147">
        <f t="shared" si="39"/>
        <v>-0.44029977037161727</v>
      </c>
      <c r="S147">
        <f t="shared" si="40"/>
        <v>4.0143436692984258E-3</v>
      </c>
      <c r="U147" s="15">
        <f t="shared" si="48"/>
        <v>1.410000000000001</v>
      </c>
      <c r="V147">
        <f t="shared" si="53"/>
        <v>19.935502572456777</v>
      </c>
      <c r="W147">
        <f t="shared" si="41"/>
        <v>6.4497427543223296E-2</v>
      </c>
      <c r="X147">
        <f t="shared" si="49"/>
        <v>5.7266260655702288</v>
      </c>
      <c r="Y147">
        <f t="shared" si="50"/>
        <v>-0.16899804600143398</v>
      </c>
      <c r="Z147">
        <f t="shared" si="42"/>
        <v>0.16445561789417606</v>
      </c>
      <c r="AA147">
        <f t="shared" si="43"/>
        <v>0.38698456525933977</v>
      </c>
    </row>
    <row r="148" spans="8:27" x14ac:dyDescent="0.25">
      <c r="H148" s="15">
        <f t="shared" si="44"/>
        <v>1.420000000000001</v>
      </c>
      <c r="I148" s="9">
        <f t="shared" si="37"/>
        <v>47.883681613692779</v>
      </c>
      <c r="J148">
        <f t="shared" si="51"/>
        <v>47.957992245597048</v>
      </c>
      <c r="K148">
        <f t="shared" si="36"/>
        <v>49.897248595386642</v>
      </c>
      <c r="M148" s="15">
        <f t="shared" si="45"/>
        <v>1.420000000000001</v>
      </c>
      <c r="N148">
        <f t="shared" si="52"/>
        <v>0.1600526201904599</v>
      </c>
      <c r="O148">
        <f t="shared" si="38"/>
        <v>0.21706460799522925</v>
      </c>
      <c r="P148">
        <f t="shared" si="46"/>
        <v>-8.6496988972589589E-2</v>
      </c>
      <c r="Q148">
        <f t="shared" si="47"/>
        <v>-0.54643393699344567</v>
      </c>
      <c r="R148">
        <f t="shared" si="39"/>
        <v>-0.42691028995543284</v>
      </c>
      <c r="S148">
        <f t="shared" si="40"/>
        <v>3.8200682424239241E-3</v>
      </c>
      <c r="U148" s="15">
        <f t="shared" si="48"/>
        <v>1.420000000000001</v>
      </c>
      <c r="V148">
        <f t="shared" si="53"/>
        <v>19.937147128635718</v>
      </c>
      <c r="W148">
        <f t="shared" si="41"/>
        <v>6.2852871364281526E-2</v>
      </c>
      <c r="X148">
        <f t="shared" si="49"/>
        <v>5.7272628170647666</v>
      </c>
      <c r="Y148">
        <f t="shared" si="50"/>
        <v>-0.16445561789417695</v>
      </c>
      <c r="Z148">
        <f t="shared" si="42"/>
        <v>0.1600526201904599</v>
      </c>
      <c r="AA148">
        <f t="shared" si="43"/>
        <v>0.37711722818568916</v>
      </c>
    </row>
    <row r="149" spans="8:27" x14ac:dyDescent="0.25">
      <c r="H149" s="15">
        <f t="shared" si="44"/>
        <v>1.430000000000001</v>
      </c>
      <c r="I149" s="9">
        <f t="shared" si="37"/>
        <v>47.930291174596981</v>
      </c>
      <c r="J149">
        <f t="shared" si="51"/>
        <v>48.003467830716069</v>
      </c>
      <c r="K149">
        <f t="shared" ref="K149:K212" si="54">K148+$E$8*DEGREES($E$6*$C$5*$C$6^2*$E$5/(4*$C$7)*$C$8*RADIANS(K148) +$E$6*$C$5*$C$6*$E$5^2/(2*$C$7)*$C$9*$C$18)</f>
        <v>49.899536872811893</v>
      </c>
      <c r="M149" s="15">
        <f t="shared" si="45"/>
        <v>1.430000000000001</v>
      </c>
      <c r="N149">
        <f t="shared" si="52"/>
        <v>0.15578351729090559</v>
      </c>
      <c r="O149">
        <f t="shared" si="38"/>
        <v>0.21173055368335367</v>
      </c>
      <c r="P149">
        <f t="shared" si="46"/>
        <v>-8.4353013164196675E-2</v>
      </c>
      <c r="Q149">
        <f t="shared" si="47"/>
        <v>-0.53340543118755857</v>
      </c>
      <c r="R149">
        <f t="shared" si="39"/>
        <v>-0.41404442712994649</v>
      </c>
      <c r="S149">
        <f t="shared" si="40"/>
        <v>3.6380127661516382E-3</v>
      </c>
      <c r="U149" s="15">
        <f t="shared" si="48"/>
        <v>1.430000000000001</v>
      </c>
      <c r="V149">
        <f t="shared" si="53"/>
        <v>19.938747654837623</v>
      </c>
      <c r="W149">
        <f t="shared" si="41"/>
        <v>6.1252345162376542E-2</v>
      </c>
      <c r="X149">
        <f t="shared" si="49"/>
        <v>5.7278833431473997</v>
      </c>
      <c r="Y149">
        <f t="shared" si="50"/>
        <v>-0.16005262019049837</v>
      </c>
      <c r="Z149">
        <f t="shared" si="42"/>
        <v>0.15578351729090559</v>
      </c>
      <c r="AA149">
        <f t="shared" si="43"/>
        <v>0.36751407097425925</v>
      </c>
    </row>
    <row r="150" spans="8:27" x14ac:dyDescent="0.25">
      <c r="H150" s="15">
        <f t="shared" si="44"/>
        <v>1.4400000000000011</v>
      </c>
      <c r="I150" s="9">
        <f t="shared" si="37"/>
        <v>47.97587421171265</v>
      </c>
      <c r="J150">
        <f t="shared" si="51"/>
        <v>48.047930672941504</v>
      </c>
      <c r="K150">
        <f t="shared" si="54"/>
        <v>49.901774190217722</v>
      </c>
      <c r="M150" s="15">
        <f t="shared" si="45"/>
        <v>1.4400000000000011</v>
      </c>
      <c r="N150">
        <f t="shared" si="52"/>
        <v>0.15164307301960611</v>
      </c>
      <c r="O150">
        <f t="shared" si="38"/>
        <v>0.20652398691719065</v>
      </c>
      <c r="P150">
        <f t="shared" si="46"/>
        <v>-8.2261740461193958E-2</v>
      </c>
      <c r="Q150">
        <f t="shared" si="47"/>
        <v>-0.52065667661630177</v>
      </c>
      <c r="R150">
        <f t="shared" si="39"/>
        <v>-0.40167424974537208</v>
      </c>
      <c r="S150">
        <f t="shared" si="40"/>
        <v>3.4672952377514943E-3</v>
      </c>
      <c r="U150" s="15">
        <f t="shared" si="48"/>
        <v>1.4400000000000011</v>
      </c>
      <c r="V150">
        <f t="shared" si="53"/>
        <v>19.940305490010534</v>
      </c>
      <c r="W150">
        <f t="shared" si="41"/>
        <v>5.9694509989466127E-2</v>
      </c>
      <c r="X150">
        <f t="shared" si="49"/>
        <v>5.728488077423159</v>
      </c>
      <c r="Y150">
        <f t="shared" si="50"/>
        <v>-0.15578351729104156</v>
      </c>
      <c r="Z150">
        <f t="shared" si="42"/>
        <v>0.15164307301960611</v>
      </c>
      <c r="AA150">
        <f t="shared" si="43"/>
        <v>0.35816705993679676</v>
      </c>
    </row>
    <row r="151" spans="8:27" x14ac:dyDescent="0.25">
      <c r="H151" s="15">
        <f t="shared" si="44"/>
        <v>1.4500000000000011</v>
      </c>
      <c r="I151" s="9">
        <f t="shared" si="37"/>
        <v>48.020453333085577</v>
      </c>
      <c r="J151">
        <f t="shared" si="51"/>
        <v>48.091403326093513</v>
      </c>
      <c r="K151">
        <f t="shared" si="54"/>
        <v>49.903961682485566</v>
      </c>
      <c r="M151" s="15">
        <f t="shared" si="45"/>
        <v>1.4500000000000011</v>
      </c>
      <c r="N151">
        <f t="shared" si="52"/>
        <v>0.1476263305221524</v>
      </c>
      <c r="O151">
        <f t="shared" si="38"/>
        <v>0.20144214503347352</v>
      </c>
      <c r="P151">
        <f t="shared" si="46"/>
        <v>-8.0221909801440644E-2</v>
      </c>
      <c r="Q151">
        <f t="shared" si="47"/>
        <v>-0.50818418837171309</v>
      </c>
      <c r="R151">
        <f t="shared" si="39"/>
        <v>-0.38977368684301589</v>
      </c>
      <c r="S151">
        <f t="shared" si="40"/>
        <v>3.3071008239732858E-3</v>
      </c>
      <c r="U151" s="15">
        <f t="shared" si="48"/>
        <v>1.4500000000000011</v>
      </c>
      <c r="V151">
        <f t="shared" si="53"/>
        <v>19.941821920740729</v>
      </c>
      <c r="W151">
        <f t="shared" si="41"/>
        <v>5.8178079259270987E-2</v>
      </c>
      <c r="X151">
        <f t="shared" si="49"/>
        <v>5.7290774403694025</v>
      </c>
      <c r="Y151">
        <f t="shared" si="50"/>
        <v>-0.15164307301951396</v>
      </c>
      <c r="Z151">
        <f t="shared" si="42"/>
        <v>0.1476263305221524</v>
      </c>
      <c r="AA151">
        <f t="shared" si="43"/>
        <v>0.34906847555562592</v>
      </c>
    </row>
    <row r="152" spans="8:27" x14ac:dyDescent="0.25">
      <c r="H152" s="15">
        <f t="shared" si="44"/>
        <v>1.4600000000000011</v>
      </c>
      <c r="I152" s="9">
        <f t="shared" si="37"/>
        <v>48.064050648844521</v>
      </c>
      <c r="J152">
        <f t="shared" si="51"/>
        <v>48.133907841717885</v>
      </c>
      <c r="K152">
        <f t="shared" si="54"/>
        <v>49.906100459223019</v>
      </c>
      <c r="M152" s="15">
        <f t="shared" si="45"/>
        <v>1.4600000000000011</v>
      </c>
      <c r="N152">
        <f t="shared" si="52"/>
        <v>0.14372859365372226</v>
      </c>
      <c r="O152">
        <f t="shared" si="38"/>
        <v>0.19648230207057504</v>
      </c>
      <c r="P152">
        <f t="shared" si="46"/>
        <v>-7.8232287565920405E-2</v>
      </c>
      <c r="Q152">
        <f t="shared" si="47"/>
        <v>-0.49598429628984753</v>
      </c>
      <c r="R152">
        <f t="shared" si="39"/>
        <v>-0.37831839109811899</v>
      </c>
      <c r="S152">
        <f t="shared" si="40"/>
        <v>3.1566766513503874E-3</v>
      </c>
      <c r="U152" s="15">
        <f t="shared" si="48"/>
        <v>1.4600000000000011</v>
      </c>
      <c r="V152">
        <f t="shared" si="53"/>
        <v>19.94329818404595</v>
      </c>
      <c r="W152">
        <f t="shared" si="41"/>
        <v>5.670181595404955E-2</v>
      </c>
      <c r="X152">
        <f t="shared" si="49"/>
        <v>5.7296518398454692</v>
      </c>
      <c r="Y152">
        <f t="shared" si="50"/>
        <v>-0.14762633052214369</v>
      </c>
      <c r="Z152">
        <f t="shared" si="42"/>
        <v>0.14372859365372226</v>
      </c>
      <c r="AA152">
        <f t="shared" si="43"/>
        <v>0.3402108957242973</v>
      </c>
    </row>
    <row r="153" spans="8:27" x14ac:dyDescent="0.25">
      <c r="H153" s="15">
        <f t="shared" si="44"/>
        <v>1.4700000000000011</v>
      </c>
      <c r="I153" s="9">
        <f t="shared" si="37"/>
        <v>48.106687782167164</v>
      </c>
      <c r="J153">
        <f t="shared" si="51"/>
        <v>48.175465780271701</v>
      </c>
      <c r="K153">
        <f t="shared" si="54"/>
        <v>49.908191605326671</v>
      </c>
      <c r="M153" s="15">
        <f t="shared" si="45"/>
        <v>1.4700000000000011</v>
      </c>
      <c r="N153">
        <f t="shared" si="52"/>
        <v>0.13994540974274106</v>
      </c>
      <c r="O153">
        <f t="shared" si="38"/>
        <v>0.19164177036234076</v>
      </c>
      <c r="P153">
        <f t="shared" si="46"/>
        <v>-7.6291667203755825E-2</v>
      </c>
      <c r="Q153">
        <f t="shared" si="47"/>
        <v>-0.48405317082342858</v>
      </c>
      <c r="R153">
        <f t="shared" si="39"/>
        <v>-0.36728561181281644</v>
      </c>
      <c r="S153">
        <f t="shared" si="40"/>
        <v>3.015327002331869E-3</v>
      </c>
      <c r="U153" s="15">
        <f t="shared" si="48"/>
        <v>1.4700000000000011</v>
      </c>
      <c r="V153">
        <f t="shared" si="53"/>
        <v>19.944735469982486</v>
      </c>
      <c r="W153">
        <f t="shared" si="41"/>
        <v>5.5264530017513636E-2</v>
      </c>
      <c r="X153">
        <f t="shared" si="49"/>
        <v>5.7302116715753266</v>
      </c>
      <c r="Y153">
        <f t="shared" si="50"/>
        <v>-0.14372859365359147</v>
      </c>
      <c r="Z153">
        <f t="shared" si="42"/>
        <v>0.13994540974274106</v>
      </c>
      <c r="AA153">
        <f t="shared" si="43"/>
        <v>0.33158718010508181</v>
      </c>
    </row>
    <row r="154" spans="8:27" x14ac:dyDescent="0.25">
      <c r="H154" s="15">
        <f t="shared" si="44"/>
        <v>1.4800000000000011</v>
      </c>
      <c r="I154" s="9">
        <f t="shared" si="37"/>
        <v>48.148385880004767</v>
      </c>
      <c r="J154">
        <f t="shared" si="51"/>
        <v>48.216098222059891</v>
      </c>
      <c r="K154">
        <f t="shared" si="54"/>
        <v>49.910236181532419</v>
      </c>
      <c r="M154" s="15">
        <f t="shared" si="45"/>
        <v>1.4800000000000011</v>
      </c>
      <c r="N154">
        <f t="shared" si="52"/>
        <v>0.13627255362461288</v>
      </c>
      <c r="O154">
        <f t="shared" si="38"/>
        <v>0.18691790189590474</v>
      </c>
      <c r="P154">
        <f t="shared" si="46"/>
        <v>-7.4398868842464591E-2</v>
      </c>
      <c r="Q154">
        <f t="shared" si="47"/>
        <v>-0.47238684664360209</v>
      </c>
      <c r="R154">
        <f t="shared" si="39"/>
        <v>-0.35665407766540852</v>
      </c>
      <c r="S154">
        <f t="shared" si="40"/>
        <v>2.8824088869495168E-3</v>
      </c>
      <c r="U154" s="15">
        <f t="shared" si="48"/>
        <v>1.4800000000000011</v>
      </c>
      <c r="V154">
        <f t="shared" si="53"/>
        <v>19.946134924079914</v>
      </c>
      <c r="W154">
        <f t="shared" si="41"/>
        <v>5.3865075920086269E-2</v>
      </c>
      <c r="X154">
        <f t="shared" si="49"/>
        <v>5.730757319605015</v>
      </c>
      <c r="Y154">
        <f t="shared" si="50"/>
        <v>-0.13994540974273662</v>
      </c>
      <c r="Z154">
        <f t="shared" si="42"/>
        <v>0.13627255362461288</v>
      </c>
      <c r="AA154">
        <f t="shared" si="43"/>
        <v>0.32319045552051762</v>
      </c>
    </row>
    <row r="155" spans="8:27" x14ac:dyDescent="0.25">
      <c r="H155" s="15">
        <f t="shared" si="44"/>
        <v>1.4900000000000011</v>
      </c>
      <c r="I155" s="9">
        <f t="shared" si="37"/>
        <v>48.189165623570482</v>
      </c>
      <c r="J155">
        <f t="shared" si="51"/>
        <v>48.255825777928258</v>
      </c>
      <c r="K155">
        <f t="shared" si="54"/>
        <v>49.912235224953548</v>
      </c>
      <c r="M155" s="15">
        <f t="shared" si="45"/>
        <v>1.4900000000000011</v>
      </c>
      <c r="N155">
        <f t="shared" si="52"/>
        <v>0.1327060128479588</v>
      </c>
      <c r="O155">
        <f t="shared" si="38"/>
        <v>0.18230808945507981</v>
      </c>
      <c r="P155">
        <f t="shared" si="46"/>
        <v>-7.2552738885709664E-2</v>
      </c>
      <c r="Q155">
        <f t="shared" si="47"/>
        <v>-0.4609812440824923</v>
      </c>
      <c r="R155">
        <f t="shared" si="39"/>
        <v>-0.34640388843035735</v>
      </c>
      <c r="S155">
        <f t="shared" si="40"/>
        <v>2.7573279592136291E-3</v>
      </c>
      <c r="U155" s="15">
        <f t="shared" si="48"/>
        <v>1.4900000000000011</v>
      </c>
      <c r="V155">
        <f t="shared" si="53"/>
        <v>19.94749764961616</v>
      </c>
      <c r="W155">
        <f t="shared" si="41"/>
        <v>5.2502350383839769E-2</v>
      </c>
      <c r="X155">
        <f t="shared" si="49"/>
        <v>5.7312891567365343</v>
      </c>
      <c r="Y155">
        <f t="shared" si="50"/>
        <v>-0.13627255362465007</v>
      </c>
      <c r="Z155">
        <f t="shared" si="42"/>
        <v>0.1327060128479588</v>
      </c>
      <c r="AA155">
        <f t="shared" si="43"/>
        <v>0.31501410230303861</v>
      </c>
    </row>
    <row r="156" spans="8:27" x14ac:dyDescent="0.25">
      <c r="H156" s="15">
        <f t="shared" si="44"/>
        <v>1.5000000000000011</v>
      </c>
      <c r="I156" s="9">
        <f t="shared" si="37"/>
        <v>48.229047238596706</v>
      </c>
      <c r="J156">
        <f t="shared" si="51"/>
        <v>48.294668599718335</v>
      </c>
      <c r="K156">
        <f t="shared" si="54"/>
        <v>49.914189749606784</v>
      </c>
      <c r="M156" s="15">
        <f t="shared" si="45"/>
        <v>1.5000000000000011</v>
      </c>
      <c r="N156">
        <f t="shared" si="52"/>
        <v>0.12924197396365522</v>
      </c>
      <c r="O156">
        <f t="shared" si="38"/>
        <v>0.17780976756851508</v>
      </c>
      <c r="P156">
        <f t="shared" si="46"/>
        <v>-7.0752149600591688E-2</v>
      </c>
      <c r="Q156">
        <f t="shared" si="47"/>
        <v>-0.44983218865647379</v>
      </c>
      <c r="R156">
        <f t="shared" si="39"/>
        <v>-0.33651641499429791</v>
      </c>
      <c r="S156">
        <f t="shared" si="40"/>
        <v>2.6395347524930113E-3</v>
      </c>
      <c r="U156" s="15">
        <f t="shared" si="48"/>
        <v>1.5000000000000011</v>
      </c>
      <c r="V156">
        <f t="shared" si="53"/>
        <v>19.948824709744638</v>
      </c>
      <c r="W156">
        <f t="shared" si="41"/>
        <v>5.1175290255361716E-2</v>
      </c>
      <c r="X156">
        <f t="shared" si="49"/>
        <v>5.7318075449397305</v>
      </c>
      <c r="Y156">
        <f t="shared" si="50"/>
        <v>-0.13270601284780525</v>
      </c>
      <c r="Z156">
        <f t="shared" si="42"/>
        <v>0.12924197396365522</v>
      </c>
      <c r="AA156">
        <f t="shared" si="43"/>
        <v>0.3070517415321703</v>
      </c>
    </row>
    <row r="157" spans="8:27" x14ac:dyDescent="0.25">
      <c r="H157" s="15">
        <f t="shared" si="44"/>
        <v>1.5100000000000011</v>
      </c>
      <c r="I157" s="9">
        <f t="shared" si="37"/>
        <v>48.268050505366567</v>
      </c>
      <c r="J157">
        <f t="shared" si="51"/>
        <v>48.332646390489415</v>
      </c>
      <c r="K157">
        <f t="shared" si="54"/>
        <v>49.916100746926666</v>
      </c>
      <c r="M157" s="15">
        <f t="shared" si="45"/>
        <v>1.5100000000000011</v>
      </c>
      <c r="N157">
        <f t="shared" si="52"/>
        <v>0.12587680981371224</v>
      </c>
      <c r="O157">
        <f t="shared" si="38"/>
        <v>0.17342041328063001</v>
      </c>
      <c r="P157">
        <f t="shared" si="46"/>
        <v>-6.8995998696345956E-2</v>
      </c>
      <c r="Q157">
        <f t="shared" si="47"/>
        <v>-0.43893542878850611</v>
      </c>
      <c r="R157">
        <f t="shared" si="39"/>
        <v>-0.32697420701243723</v>
      </c>
      <c r="S157">
        <f t="shared" si="40"/>
        <v>2.5285212083548392E-3</v>
      </c>
      <c r="U157" s="15">
        <f t="shared" si="48"/>
        <v>1.5100000000000011</v>
      </c>
      <c r="V157">
        <f t="shared" si="53"/>
        <v>19.950117129484276</v>
      </c>
      <c r="W157">
        <f t="shared" si="41"/>
        <v>4.988287051572371E-2</v>
      </c>
      <c r="X157">
        <f t="shared" si="49"/>
        <v>5.7323128357435857</v>
      </c>
      <c r="Y157">
        <f t="shared" si="50"/>
        <v>-0.12924197396380066</v>
      </c>
      <c r="Z157">
        <f t="shared" si="42"/>
        <v>0.12587680981371224</v>
      </c>
      <c r="AA157">
        <f t="shared" si="43"/>
        <v>0.29929722309434226</v>
      </c>
    </row>
    <row r="158" spans="8:27" x14ac:dyDescent="0.25">
      <c r="H158" s="15">
        <f t="shared" si="44"/>
        <v>1.5200000000000011</v>
      </c>
      <c r="I158" s="9">
        <f t="shared" si="37"/>
        <v>48.306194768524435</v>
      </c>
      <c r="J158">
        <f t="shared" si="51"/>
        <v>48.369778414512986</v>
      </c>
      <c r="K158">
        <f t="shared" si="54"/>
        <v>49.917969186268451</v>
      </c>
      <c r="M158" s="15">
        <f t="shared" si="45"/>
        <v>1.5200000000000011</v>
      </c>
      <c r="N158">
        <f t="shared" si="52"/>
        <v>0.12260706774358787</v>
      </c>
      <c r="O158">
        <f t="shared" si="38"/>
        <v>0.16913754676193726</v>
      </c>
      <c r="P158">
        <f t="shared" si="46"/>
        <v>-6.7283208896133123E-2</v>
      </c>
      <c r="Q158">
        <f t="shared" si="47"/>
        <v>-0.42828665186927517</v>
      </c>
      <c r="R158">
        <f t="shared" si="39"/>
        <v>-0.31776090760386616</v>
      </c>
      <c r="S158">
        <f t="shared" si="40"/>
        <v>2.4238174754838693E-3</v>
      </c>
      <c r="U158" s="15">
        <f t="shared" si="48"/>
        <v>1.5200000000000011</v>
      </c>
      <c r="V158">
        <f t="shared" si="53"/>
        <v>19.951375897582412</v>
      </c>
      <c r="W158">
        <f t="shared" si="41"/>
        <v>4.8624102417587522E-2</v>
      </c>
      <c r="X158">
        <f t="shared" si="49"/>
        <v>5.7328053706082525</v>
      </c>
      <c r="Y158">
        <f t="shared" si="50"/>
        <v>-0.12587680981361871</v>
      </c>
      <c r="Z158">
        <f t="shared" si="42"/>
        <v>0.12260706774358787</v>
      </c>
      <c r="AA158">
        <f t="shared" si="43"/>
        <v>0.29174461450552513</v>
      </c>
    </row>
    <row r="159" spans="8:27" x14ac:dyDescent="0.25">
      <c r="H159" s="15">
        <f t="shared" si="44"/>
        <v>1.5300000000000011</v>
      </c>
      <c r="I159" s="9">
        <f t="shared" si="37"/>
        <v>48.343498946670366</v>
      </c>
      <c r="J159">
        <f t="shared" si="51"/>
        <v>48.406083507044507</v>
      </c>
      <c r="K159">
        <f t="shared" si="54"/>
        <v>49.919796015399825</v>
      </c>
      <c r="M159" s="15">
        <f t="shared" si="45"/>
        <v>1.5300000000000011</v>
      </c>
      <c r="N159">
        <f t="shared" si="52"/>
        <v>0.11942945866754921</v>
      </c>
      <c r="O159">
        <f t="shared" si="38"/>
        <v>0.16495873177335812</v>
      </c>
      <c r="P159">
        <f t="shared" si="46"/>
        <v>-6.5612727503456647E-2</v>
      </c>
      <c r="Q159">
        <f t="shared" si="47"/>
        <v>-0.41788149885791381</v>
      </c>
      <c r="R159">
        <f t="shared" si="39"/>
        <v>-0.30886117456864964</v>
      </c>
      <c r="S159">
        <f t="shared" si="40"/>
        <v>2.3249889591461237E-3</v>
      </c>
      <c r="U159" s="15">
        <f t="shared" si="48"/>
        <v>1.5300000000000011</v>
      </c>
      <c r="V159">
        <f t="shared" si="53"/>
        <v>19.952601968259849</v>
      </c>
      <c r="W159">
        <f t="shared" si="41"/>
        <v>4.7398031740151225E-2</v>
      </c>
      <c r="X159">
        <f t="shared" si="49"/>
        <v>5.733285481279041</v>
      </c>
      <c r="Y159">
        <f t="shared" si="50"/>
        <v>-0.12260706774362973</v>
      </c>
      <c r="Z159">
        <f t="shared" si="42"/>
        <v>0.11942945866754921</v>
      </c>
      <c r="AA159">
        <f t="shared" si="43"/>
        <v>0.28438819044090735</v>
      </c>
    </row>
    <row r="160" spans="8:27" x14ac:dyDescent="0.25">
      <c r="H160" s="15">
        <f t="shared" si="44"/>
        <v>1.5400000000000011</v>
      </c>
      <c r="I160" s="9">
        <f t="shared" si="37"/>
        <v>48.379981541743312</v>
      </c>
      <c r="J160">
        <f t="shared" si="51"/>
        <v>48.441580083877632</v>
      </c>
      <c r="K160">
        <f t="shared" si="54"/>
        <v>49.921582160981643</v>
      </c>
      <c r="M160" s="15">
        <f t="shared" si="45"/>
        <v>1.5400000000000011</v>
      </c>
      <c r="N160">
        <f t="shared" si="52"/>
        <v>0.11634084692186272</v>
      </c>
      <c r="O160">
        <f t="shared" si="38"/>
        <v>0.1608815759989948</v>
      </c>
      <c r="P160">
        <f t="shared" si="46"/>
        <v>-6.3983525964594876E-2</v>
      </c>
      <c r="Q160">
        <f t="shared" si="47"/>
        <v>-0.40771557743633224</v>
      </c>
      <c r="R160">
        <f t="shared" si="39"/>
        <v>-0.30026060757838458</v>
      </c>
      <c r="S160">
        <f t="shared" si="40"/>
        <v>2.2316335993481096E-3</v>
      </c>
      <c r="U160" s="15">
        <f t="shared" si="48"/>
        <v>1.5400000000000011</v>
      </c>
      <c r="V160">
        <f t="shared" si="53"/>
        <v>19.953796262846524</v>
      </c>
      <c r="W160">
        <f t="shared" si="41"/>
        <v>4.6203737153476254E-2</v>
      </c>
      <c r="X160">
        <f t="shared" si="49"/>
        <v>5.733753490123509</v>
      </c>
      <c r="Y160">
        <f t="shared" si="50"/>
        <v>-0.1194294586674971</v>
      </c>
      <c r="Z160">
        <f t="shared" si="42"/>
        <v>0.11634084692186272</v>
      </c>
      <c r="AA160">
        <f t="shared" si="43"/>
        <v>0.27722242292085753</v>
      </c>
    </row>
    <row r="161" spans="8:27" x14ac:dyDescent="0.25">
      <c r="H161" s="15">
        <f t="shared" si="44"/>
        <v>1.5500000000000012</v>
      </c>
      <c r="I161" s="9">
        <f t="shared" si="37"/>
        <v>48.415660648197523</v>
      </c>
      <c r="J161">
        <f t="shared" si="51"/>
        <v>48.476286150685652</v>
      </c>
      <c r="K161">
        <f t="shared" si="54"/>
        <v>49.923328529038002</v>
      </c>
      <c r="M161" s="15">
        <f t="shared" si="45"/>
        <v>1.5500000000000012</v>
      </c>
      <c r="N161">
        <f t="shared" si="52"/>
        <v>0.11333824084607888</v>
      </c>
      <c r="O161">
        <f t="shared" si="38"/>
        <v>0.15690373125947313</v>
      </c>
      <c r="P161">
        <f t="shared" si="46"/>
        <v>-6.2394599428302534E-2</v>
      </c>
      <c r="Q161">
        <f t="shared" si="47"/>
        <v>-0.39778447395216743</v>
      </c>
      <c r="R161">
        <f t="shared" si="39"/>
        <v>-0.29194568091934492</v>
      </c>
      <c r="S161">
        <f t="shared" si="40"/>
        <v>2.1433793620880826E-3</v>
      </c>
      <c r="U161" s="15">
        <f t="shared" si="48"/>
        <v>1.5500000000000012</v>
      </c>
      <c r="V161">
        <f t="shared" si="53"/>
        <v>19.954959671315741</v>
      </c>
      <c r="W161">
        <f t="shared" si="41"/>
        <v>4.5040328684258668E-2</v>
      </c>
      <c r="X161">
        <f t="shared" si="49"/>
        <v>5.7342097104526975</v>
      </c>
      <c r="Y161">
        <f t="shared" si="50"/>
        <v>-0.11634084692175861</v>
      </c>
      <c r="Z161">
        <f t="shared" si="42"/>
        <v>0.11333824084607888</v>
      </c>
      <c r="AA161">
        <f t="shared" si="43"/>
        <v>0.27024197210555201</v>
      </c>
    </row>
    <row r="162" spans="8:27" x14ac:dyDescent="0.25">
      <c r="H162" s="15">
        <f t="shared" si="44"/>
        <v>1.5600000000000012</v>
      </c>
      <c r="I162" s="9">
        <f t="shared" si="37"/>
        <v>48.450553961977029</v>
      </c>
      <c r="J162">
        <f t="shared" si="51"/>
        <v>48.510219312154859</v>
      </c>
      <c r="K162">
        <f t="shared" si="54"/>
        <v>49.925036005415805</v>
      </c>
      <c r="M162" s="15">
        <f t="shared" si="45"/>
        <v>1.5600000000000012</v>
      </c>
      <c r="N162">
        <f t="shared" si="52"/>
        <v>0.11041878403688543</v>
      </c>
      <c r="O162">
        <f t="shared" si="38"/>
        <v>0.15302289361789689</v>
      </c>
      <c r="P162">
        <f t="shared" si="46"/>
        <v>-6.0844966303915685E-2</v>
      </c>
      <c r="Q162">
        <f t="shared" si="47"/>
        <v>-0.38808376415762347</v>
      </c>
      <c r="R162">
        <f t="shared" si="39"/>
        <v>-0.28390368132624777</v>
      </c>
      <c r="S162">
        <f t="shared" si="40"/>
        <v>2.0598819253608569E-3</v>
      </c>
      <c r="U162" s="15">
        <f t="shared" si="48"/>
        <v>1.5600000000000012</v>
      </c>
      <c r="V162">
        <f t="shared" si="53"/>
        <v>19.956093053724203</v>
      </c>
      <c r="W162">
        <f t="shared" si="41"/>
        <v>4.3906946275797054E-2</v>
      </c>
      <c r="X162">
        <f t="shared" si="49"/>
        <v>5.7346544468274976</v>
      </c>
      <c r="Y162">
        <f t="shared" si="50"/>
        <v>-0.1133382408461614</v>
      </c>
      <c r="Z162">
        <f t="shared" si="42"/>
        <v>0.11041878403688543</v>
      </c>
      <c r="AA162">
        <f t="shared" si="43"/>
        <v>0.26344167765478232</v>
      </c>
    </row>
    <row r="163" spans="8:27" x14ac:dyDescent="0.25">
      <c r="H163" s="15">
        <f t="shared" si="44"/>
        <v>1.5700000000000012</v>
      </c>
      <c r="I163" s="9">
        <f t="shared" si="37"/>
        <v>48.484678789292374</v>
      </c>
      <c r="J163">
        <f t="shared" si="51"/>
        <v>48.543396780914563</v>
      </c>
      <c r="K163">
        <f t="shared" si="54"/>
        <v>49.92670545623411</v>
      </c>
      <c r="M163" s="15">
        <f t="shared" si="45"/>
        <v>1.5700000000000012</v>
      </c>
      <c r="N163">
        <f t="shared" si="52"/>
        <v>0.10757974722362296</v>
      </c>
      <c r="O163">
        <f t="shared" si="38"/>
        <v>0.14923680338894652</v>
      </c>
      <c r="P163">
        <f t="shared" si="46"/>
        <v>-5.9333667818881469E-2</v>
      </c>
      <c r="Q163">
        <f t="shared" si="47"/>
        <v>-0.37860902289503784</v>
      </c>
      <c r="R163">
        <f t="shared" si="39"/>
        <v>-0.27612265052667345</v>
      </c>
      <c r="S163">
        <f t="shared" si="40"/>
        <v>1.9808225454647221E-3</v>
      </c>
      <c r="U163" s="15">
        <f t="shared" si="48"/>
        <v>1.5700000000000012</v>
      </c>
      <c r="V163">
        <f t="shared" si="53"/>
        <v>19.957197241564572</v>
      </c>
      <c r="W163">
        <f t="shared" si="41"/>
        <v>4.2802758435428245E-2</v>
      </c>
      <c r="X163">
        <f t="shared" si="49"/>
        <v>5.7350879953510541</v>
      </c>
      <c r="Y163">
        <f t="shared" si="50"/>
        <v>-0.11041878403688088</v>
      </c>
      <c r="Z163">
        <f t="shared" si="42"/>
        <v>0.10757974722362296</v>
      </c>
      <c r="AA163">
        <f t="shared" si="43"/>
        <v>0.25681655061256947</v>
      </c>
    </row>
    <row r="164" spans="8:27" x14ac:dyDescent="0.25">
      <c r="H164" s="15">
        <f t="shared" si="44"/>
        <v>1.5800000000000012</v>
      </c>
      <c r="I164" s="9">
        <f t="shared" si="37"/>
        <v>48.518052055204016</v>
      </c>
      <c r="J164">
        <f t="shared" si="51"/>
        <v>48.575835386268203</v>
      </c>
      <c r="K164">
        <f t="shared" si="54"/>
        <v>49.928337728323477</v>
      </c>
      <c r="M164" s="15">
        <f t="shared" si="45"/>
        <v>1.5800000000000012</v>
      </c>
      <c r="N164">
        <f t="shared" si="52"/>
        <v>0.10481852071835622</v>
      </c>
      <c r="O164">
        <f t="shared" si="38"/>
        <v>0.14554324506079747</v>
      </c>
      <c r="P164">
        <f t="shared" si="46"/>
        <v>-5.7859767576632748E-2</v>
      </c>
      <c r="Q164">
        <f t="shared" si="47"/>
        <v>-0.36935583281490492</v>
      </c>
      <c r="R164">
        <f t="shared" si="39"/>
        <v>-0.26859133213494246</v>
      </c>
      <c r="S164">
        <f t="shared" si="40"/>
        <v>1.905906089717857E-3</v>
      </c>
      <c r="U164" s="15">
        <f t="shared" si="48"/>
        <v>1.5800000000000012</v>
      </c>
      <c r="V164">
        <f t="shared" si="53"/>
        <v>19.958273039036808</v>
      </c>
      <c r="W164">
        <f t="shared" si="41"/>
        <v>4.1726960963192283E-2</v>
      </c>
      <c r="X164">
        <f t="shared" si="49"/>
        <v>5.7355106439480474</v>
      </c>
      <c r="Y164">
        <f t="shared" si="50"/>
        <v>-0.1075797472235962</v>
      </c>
      <c r="Z164">
        <f t="shared" si="42"/>
        <v>0.10481852071835622</v>
      </c>
      <c r="AA164">
        <f t="shared" si="43"/>
        <v>0.2503617657791537</v>
      </c>
    </row>
    <row r="165" spans="8:27" x14ac:dyDescent="0.25">
      <c r="H165" s="15">
        <f t="shared" si="44"/>
        <v>1.5900000000000012</v>
      </c>
      <c r="I165" s="9">
        <f t="shared" si="37"/>
        <v>48.550690312016769</v>
      </c>
      <c r="J165">
        <f t="shared" si="51"/>
        <v>48.607551582730046</v>
      </c>
      <c r="K165">
        <f t="shared" si="54"/>
        <v>49.929933649655517</v>
      </c>
      <c r="M165" s="15">
        <f t="shared" si="45"/>
        <v>1.5900000000000012</v>
      </c>
      <c r="N165">
        <f t="shared" si="52"/>
        <v>0.10213260739700679</v>
      </c>
      <c r="O165">
        <f t="shared" si="38"/>
        <v>0.14194004713905506</v>
      </c>
      <c r="P165">
        <f t="shared" si="46"/>
        <v>-5.6422351115633484E-2</v>
      </c>
      <c r="Q165">
        <f t="shared" si="47"/>
        <v>-0.36031979217424071</v>
      </c>
      <c r="R165">
        <f t="shared" si="39"/>
        <v>-0.26129912254428939</v>
      </c>
      <c r="S165">
        <f t="shared" si="40"/>
        <v>1.8348592217997117E-3</v>
      </c>
      <c r="U165" s="15">
        <f t="shared" si="48"/>
        <v>1.5900000000000012</v>
      </c>
      <c r="V165">
        <f t="shared" si="53"/>
        <v>19.95932122424399</v>
      </c>
      <c r="W165">
        <f t="shared" si="41"/>
        <v>4.067877575601031E-2</v>
      </c>
      <c r="X165">
        <f t="shared" si="49"/>
        <v>5.7359226726316432</v>
      </c>
      <c r="Y165">
        <f t="shared" si="50"/>
        <v>-0.10481852071819731</v>
      </c>
      <c r="Z165">
        <f t="shared" si="42"/>
        <v>0.10213260739700679</v>
      </c>
      <c r="AA165">
        <f t="shared" si="43"/>
        <v>0.24407265453606186</v>
      </c>
    </row>
    <row r="166" spans="8:27" x14ac:dyDescent="0.25">
      <c r="H166" s="15">
        <f t="shared" si="44"/>
        <v>1.6000000000000012</v>
      </c>
      <c r="I166" s="9">
        <f t="shared" si="37"/>
        <v>48.582609747489322</v>
      </c>
      <c r="J166">
        <f t="shared" si="51"/>
        <v>48.63856145837174</v>
      </c>
      <c r="K166">
        <f t="shared" si="54"/>
        <v>49.931494029762888</v>
      </c>
      <c r="M166" s="15">
        <f t="shared" si="45"/>
        <v>1.6000000000000012</v>
      </c>
      <c r="N166">
        <f t="shared" si="52"/>
        <v>9.9519616171563893E-2</v>
      </c>
      <c r="O166">
        <f t="shared" si="38"/>
        <v>0.13842508192067138</v>
      </c>
      <c r="P166">
        <f t="shared" si="46"/>
        <v>-5.5020525470334855E-2</v>
      </c>
      <c r="Q166">
        <f t="shared" si="47"/>
        <v>-0.3514965218383681</v>
      </c>
      <c r="R166">
        <f t="shared" si="39"/>
        <v>-0.25423602552532476</v>
      </c>
      <c r="S166">
        <f t="shared" si="40"/>
        <v>1.7674287287152146E-3</v>
      </c>
      <c r="U166" s="15">
        <f t="shared" si="48"/>
        <v>1.6000000000000012</v>
      </c>
      <c r="V166">
        <f t="shared" si="53"/>
        <v>19.960342550317961</v>
      </c>
      <c r="W166">
        <f t="shared" si="41"/>
        <v>3.9657449682039214E-2</v>
      </c>
      <c r="X166">
        <f t="shared" si="49"/>
        <v>5.7363243537588335</v>
      </c>
      <c r="Y166">
        <f t="shared" si="50"/>
        <v>-0.10213260739710961</v>
      </c>
      <c r="Z166">
        <f t="shared" si="42"/>
        <v>9.9519616171563893E-2</v>
      </c>
      <c r="AA166">
        <f t="shared" si="43"/>
        <v>0.23794469809223529</v>
      </c>
    </row>
    <row r="167" spans="8:27" x14ac:dyDescent="0.25">
      <c r="H167" s="15">
        <f t="shared" si="44"/>
        <v>1.6100000000000012</v>
      </c>
      <c r="I167" s="9">
        <f t="shared" si="37"/>
        <v>48.61382619286298</v>
      </c>
      <c r="J167">
        <f t="shared" si="51"/>
        <v>48.668880742982992</v>
      </c>
      <c r="K167">
        <f t="shared" si="54"/>
        <v>49.933019660149924</v>
      </c>
      <c r="M167" s="15">
        <f t="shared" si="45"/>
        <v>1.6100000000000012</v>
      </c>
      <c r="N167">
        <f t="shared" si="52"/>
        <v>9.6977255916310651E-2</v>
      </c>
      <c r="O167">
        <f t="shared" si="38"/>
        <v>0.13499626520564026</v>
      </c>
      <c r="P167">
        <f t="shared" si="46"/>
        <v>-5.36534187347033E-2</v>
      </c>
      <c r="Q167">
        <f t="shared" si="47"/>
        <v>-0.34288167150311188</v>
      </c>
      <c r="R167">
        <f t="shared" si="39"/>
        <v>-0.24739261022475387</v>
      </c>
      <c r="S167">
        <f t="shared" si="40"/>
        <v>1.7033799772670777E-3</v>
      </c>
      <c r="U167" s="15">
        <f t="shared" si="48"/>
        <v>1.6100000000000012</v>
      </c>
      <c r="V167">
        <f t="shared" si="53"/>
        <v>19.961337746479675</v>
      </c>
      <c r="W167">
        <f t="shared" si="41"/>
        <v>3.8662253520325152E-2</v>
      </c>
      <c r="X167">
        <f t="shared" si="49"/>
        <v>5.736715952274845</v>
      </c>
      <c r="Y167">
        <f t="shared" si="50"/>
        <v>-9.9519616171406255E-2</v>
      </c>
      <c r="Z167">
        <f t="shared" si="42"/>
        <v>9.6977255916310651E-2</v>
      </c>
      <c r="AA167">
        <f t="shared" si="43"/>
        <v>0.23197352112195091</v>
      </c>
    </row>
    <row r="168" spans="8:27" x14ac:dyDescent="0.25">
      <c r="H168" s="15">
        <f t="shared" si="44"/>
        <v>1.6200000000000012</v>
      </c>
      <c r="I168" s="9">
        <f t="shared" si="37"/>
        <v>48.644355130713542</v>
      </c>
      <c r="J168">
        <f t="shared" si="51"/>
        <v>48.698524816050551</v>
      </c>
      <c r="K168">
        <f t="shared" si="54"/>
        <v>49.934511314694127</v>
      </c>
      <c r="M168" s="15">
        <f t="shared" si="45"/>
        <v>1.6200000000000012</v>
      </c>
      <c r="N168">
        <f t="shared" si="52"/>
        <v>9.4503329814063106E-2</v>
      </c>
      <c r="O168">
        <f t="shared" si="38"/>
        <v>0.13165155595291061</v>
      </c>
      <c r="P168">
        <f t="shared" si="46"/>
        <v>-5.2320179628910543E-2</v>
      </c>
      <c r="Q168">
        <f t="shared" si="47"/>
        <v>-0.3344709252729644</v>
      </c>
      <c r="R168">
        <f t="shared" si="39"/>
        <v>-0.24075997233043492</v>
      </c>
      <c r="S168">
        <f t="shared" si="40"/>
        <v>1.6424954914611434E-3</v>
      </c>
      <c r="U168" s="15">
        <f t="shared" si="48"/>
        <v>1.6200000000000012</v>
      </c>
      <c r="V168">
        <f t="shared" si="53"/>
        <v>19.962307519038838</v>
      </c>
      <c r="W168">
        <f t="shared" si="41"/>
        <v>3.7692480961162289E-2</v>
      </c>
      <c r="X168">
        <f t="shared" si="49"/>
        <v>5.7370977259472529</v>
      </c>
      <c r="Y168">
        <f t="shared" si="50"/>
        <v>-9.6977255916286254E-2</v>
      </c>
      <c r="Z168">
        <f t="shared" si="42"/>
        <v>9.4503329814063106E-2</v>
      </c>
      <c r="AA168">
        <f t="shared" si="43"/>
        <v>0.22615488576697373</v>
      </c>
    </row>
    <row r="169" spans="8:27" x14ac:dyDescent="0.25">
      <c r="H169" s="15">
        <f t="shared" si="44"/>
        <v>1.6300000000000012</v>
      </c>
      <c r="I169" s="9">
        <f t="shared" si="37"/>
        <v>48.674211702630267</v>
      </c>
      <c r="J169">
        <f t="shared" si="51"/>
        <v>48.727508714559441</v>
      </c>
      <c r="K169">
        <f t="shared" si="54"/>
        <v>49.935969750038723</v>
      </c>
      <c r="M169" s="15">
        <f t="shared" si="45"/>
        <v>1.6300000000000012</v>
      </c>
      <c r="N169">
        <f t="shared" si="52"/>
        <v>9.2095730090758762E-2</v>
      </c>
      <c r="O169">
        <f t="shared" si="38"/>
        <v>0.12838895588736965</v>
      </c>
      <c r="P169">
        <f t="shared" si="46"/>
        <v>-5.1019977069709142E-2</v>
      </c>
      <c r="Q169">
        <f t="shared" si="47"/>
        <v>-0.32626000655409659</v>
      </c>
      <c r="R169">
        <f t="shared" si="39"/>
        <v>-0.23432969812016025</v>
      </c>
      <c r="S169">
        <f t="shared" si="40"/>
        <v>1.5845736393473864E-3</v>
      </c>
      <c r="U169" s="15">
        <f t="shared" si="48"/>
        <v>1.6300000000000012</v>
      </c>
      <c r="V169">
        <f t="shared" si="53"/>
        <v>19.963252552336979</v>
      </c>
      <c r="W169">
        <f t="shared" si="41"/>
        <v>3.6747447663021404E-2</v>
      </c>
      <c r="X169">
        <f t="shared" si="49"/>
        <v>5.7374699255903741</v>
      </c>
      <c r="Y169">
        <f t="shared" si="50"/>
        <v>-9.4503329814088488E-2</v>
      </c>
      <c r="Z169">
        <f t="shared" si="42"/>
        <v>9.2095730090758762E-2</v>
      </c>
      <c r="AA169">
        <f t="shared" si="43"/>
        <v>0.22048468597812843</v>
      </c>
    </row>
    <row r="170" spans="8:27" x14ac:dyDescent="0.25">
      <c r="H170" s="15">
        <f t="shared" si="44"/>
        <v>1.6400000000000012</v>
      </c>
      <c r="I170" s="9">
        <f t="shared" si="37"/>
        <v>48.70341071672577</v>
      </c>
      <c r="J170">
        <f t="shared" si="51"/>
        <v>48.755847140620503</v>
      </c>
      <c r="K170">
        <f t="shared" si="54"/>
        <v>49.937395705976463</v>
      </c>
      <c r="M170" s="15">
        <f t="shared" si="45"/>
        <v>1.6400000000000012</v>
      </c>
      <c r="N170">
        <f t="shared" si="52"/>
        <v>8.9752433109557161E-2</v>
      </c>
      <c r="O170">
        <f t="shared" si="38"/>
        <v>0.1252065090631358</v>
      </c>
      <c r="P170">
        <f t="shared" si="46"/>
        <v>-4.9751999744956615E-2</v>
      </c>
      <c r="Q170">
        <f t="shared" si="47"/>
        <v>-0.31824468242338533</v>
      </c>
      <c r="R170">
        <f t="shared" si="39"/>
        <v>-0.2280938312090813</v>
      </c>
      <c r="S170">
        <f t="shared" si="40"/>
        <v>1.5294274227453386E-3</v>
      </c>
      <c r="U170" s="15">
        <f t="shared" si="48"/>
        <v>1.6400000000000012</v>
      </c>
      <c r="V170">
        <f t="shared" si="53"/>
        <v>19.964173509637885</v>
      </c>
      <c r="W170">
        <f t="shared" si="41"/>
        <v>3.5826490362115493E-2</v>
      </c>
      <c r="X170">
        <f t="shared" si="49"/>
        <v>5.7378327952805002</v>
      </c>
      <c r="Y170">
        <f t="shared" si="50"/>
        <v>-9.2095730090591132E-2</v>
      </c>
      <c r="Z170">
        <f t="shared" si="42"/>
        <v>8.9752433109557161E-2</v>
      </c>
      <c r="AA170">
        <f t="shared" si="43"/>
        <v>0.21495894217269296</v>
      </c>
    </row>
    <row r="171" spans="8:27" x14ac:dyDescent="0.25">
      <c r="H171" s="15">
        <f t="shared" si="44"/>
        <v>1.6500000000000012</v>
      </c>
      <c r="I171" s="9">
        <f t="shared" si="37"/>
        <v>48.73196665498039</v>
      </c>
      <c r="J171">
        <f t="shared" si="51"/>
        <v>48.783554468928045</v>
      </c>
      <c r="K171">
        <f t="shared" si="54"/>
        <v>49.938789905824898</v>
      </c>
      <c r="M171" s="15">
        <f t="shared" si="45"/>
        <v>1.6500000000000012</v>
      </c>
      <c r="N171">
        <f t="shared" si="52"/>
        <v>8.7471494797466354E-2</v>
      </c>
      <c r="O171">
        <f t="shared" si="38"/>
        <v>0.12210230138866113</v>
      </c>
      <c r="P171">
        <f t="shared" si="46"/>
        <v>-4.8515455692697627E-2</v>
      </c>
      <c r="Q171">
        <f t="shared" si="47"/>
        <v>-0.31042076744746683</v>
      </c>
      <c r="R171">
        <f t="shared" si="39"/>
        <v>-0.22204484176571179</v>
      </c>
      <c r="S171">
        <f t="shared" si="40"/>
        <v>1.4768833606405574E-3</v>
      </c>
      <c r="U171" s="15">
        <f t="shared" si="48"/>
        <v>1.6500000000000012</v>
      </c>
      <c r="V171">
        <f t="shared" si="53"/>
        <v>19.965071033968979</v>
      </c>
      <c r="W171">
        <f t="shared" si="41"/>
        <v>3.4928966031021247E-2</v>
      </c>
      <c r="X171">
        <f t="shared" si="49"/>
        <v>5.7381865725624657</v>
      </c>
      <c r="Y171">
        <f t="shared" si="50"/>
        <v>-8.9752433109424601E-2</v>
      </c>
      <c r="Z171">
        <f t="shared" si="42"/>
        <v>8.7471494797466354E-2</v>
      </c>
      <c r="AA171">
        <f t="shared" si="43"/>
        <v>0.20957379618612748</v>
      </c>
    </row>
    <row r="172" spans="8:27" x14ac:dyDescent="0.25">
      <c r="H172" s="15">
        <f t="shared" si="44"/>
        <v>1.6600000000000013</v>
      </c>
      <c r="I172" s="9">
        <f t="shared" si="37"/>
        <v>48.759893680424987</v>
      </c>
      <c r="J172">
        <f t="shared" si="51"/>
        <v>48.810644754051417</v>
      </c>
      <c r="K172">
        <f t="shared" si="54"/>
        <v>49.94015305679325</v>
      </c>
      <c r="M172" s="15">
        <f t="shared" si="45"/>
        <v>1.6600000000000013</v>
      </c>
      <c r="N172">
        <f t="shared" si="52"/>
        <v>8.5251046379809237E-2</v>
      </c>
      <c r="O172">
        <f t="shared" si="38"/>
        <v>0.1190744601184624</v>
      </c>
      <c r="P172">
        <f t="shared" si="46"/>
        <v>-4.7309571885162008E-2</v>
      </c>
      <c r="Q172">
        <f t="shared" si="47"/>
        <v>-0.30278412701987278</v>
      </c>
      <c r="R172">
        <f t="shared" si="39"/>
        <v>-0.21617559800929362</v>
      </c>
      <c r="S172">
        <f t="shared" si="40"/>
        <v>1.4267804590839539E-3</v>
      </c>
      <c r="U172" s="15">
        <f t="shared" si="48"/>
        <v>1.6600000000000013</v>
      </c>
      <c r="V172">
        <f t="shared" si="53"/>
        <v>19.965945748916955</v>
      </c>
      <c r="W172">
        <f t="shared" si="41"/>
        <v>3.4054251083045273E-2</v>
      </c>
      <c r="X172">
        <f t="shared" si="49"/>
        <v>5.7385314886480359</v>
      </c>
      <c r="Y172">
        <f t="shared" si="50"/>
        <v>-8.7471494797597416E-2</v>
      </c>
      <c r="Z172">
        <f t="shared" si="42"/>
        <v>8.5251046379809237E-2</v>
      </c>
      <c r="AA172">
        <f t="shared" si="43"/>
        <v>0.20432550649827164</v>
      </c>
    </row>
    <row r="173" spans="8:27" x14ac:dyDescent="0.25">
      <c r="H173" s="15">
        <f>H172+$E$8</f>
        <v>1.6700000000000013</v>
      </c>
      <c r="I173" s="9">
        <f t="shared" si="37"/>
        <v>48.787205644165361</v>
      </c>
      <c r="J173">
        <f t="shared" si="51"/>
        <v>48.837131737564221</v>
      </c>
      <c r="K173">
        <f t="shared" si="54"/>
        <v>49.941485850341188</v>
      </c>
      <c r="M173" s="15">
        <f>M172+$E$8</f>
        <v>1.6700000000000013</v>
      </c>
      <c r="N173">
        <f t="shared" si="52"/>
        <v>8.3089290399716298E-2</v>
      </c>
      <c r="O173">
        <f t="shared" si="38"/>
        <v>0.11612115331577016</v>
      </c>
      <c r="P173">
        <f t="shared" si="46"/>
        <v>-4.6133593817990842E-2</v>
      </c>
      <c r="Q173">
        <f t="shared" si="47"/>
        <v>-0.29533068026922349</v>
      </c>
      <c r="R173">
        <f t="shared" si="39"/>
        <v>-0.21047933981803307</v>
      </c>
      <c r="S173">
        <f t="shared" si="40"/>
        <v>1.3789692611061166E-3</v>
      </c>
      <c r="U173" s="15">
        <f>U172+$E$8</f>
        <v>1.6700000000000013</v>
      </c>
      <c r="V173">
        <f t="shared" si="53"/>
        <v>19.966798259380752</v>
      </c>
      <c r="W173">
        <f t="shared" si="41"/>
        <v>3.3201740619247744E-2</v>
      </c>
      <c r="X173">
        <f t="shared" si="49"/>
        <v>5.7388677686065472</v>
      </c>
      <c r="Y173">
        <f t="shared" si="50"/>
        <v>-8.5251046379752893E-2</v>
      </c>
      <c r="Z173">
        <f t="shared" si="42"/>
        <v>8.3089290399716298E-2</v>
      </c>
      <c r="AA173">
        <f t="shared" si="43"/>
        <v>0.19921044371548646</v>
      </c>
    </row>
    <row r="174" spans="8:27" x14ac:dyDescent="0.25">
      <c r="H174" s="15">
        <f t="shared" ref="H174:H237" si="55">H173+$E$8</f>
        <v>1.6800000000000013</v>
      </c>
      <c r="I174" s="9">
        <f t="shared" si="37"/>
        <v>48.81391609225215</v>
      </c>
      <c r="J174">
        <f t="shared" si="51"/>
        <v>48.863028855014718</v>
      </c>
      <c r="K174">
        <f t="shared" si="54"/>
        <v>49.942788962529541</v>
      </c>
      <c r="M174" s="15">
        <f t="shared" ref="M174:M237" si="56">M173+$E$8</f>
        <v>1.6800000000000013</v>
      </c>
      <c r="N174">
        <f t="shared" si="52"/>
        <v>8.0984497001535968E-2</v>
      </c>
      <c r="O174">
        <f t="shared" si="38"/>
        <v>0.11324058928996007</v>
      </c>
      <c r="P174">
        <f t="shared" si="46"/>
        <v>-4.4986785104962193E-2</v>
      </c>
      <c r="Q174">
        <f t="shared" si="47"/>
        <v>-0.28805640258100923</v>
      </c>
      <c r="R174">
        <f t="shared" si="39"/>
        <v>-0.20494965429151057</v>
      </c>
      <c r="S174">
        <f t="shared" si="40"/>
        <v>1.3333109707008989E-3</v>
      </c>
      <c r="U174" s="15">
        <f t="shared" ref="U174:U237" si="57">U173+$E$8</f>
        <v>1.6800000000000013</v>
      </c>
      <c r="V174">
        <f t="shared" si="53"/>
        <v>19.967629152284751</v>
      </c>
      <c r="W174">
        <f t="shared" si="41"/>
        <v>3.237084771524934E-2</v>
      </c>
      <c r="X174">
        <f t="shared" si="49"/>
        <v>5.7391956315482195</v>
      </c>
      <c r="Y174">
        <f t="shared" si="50"/>
        <v>-8.3089290399840365E-2</v>
      </c>
      <c r="Z174">
        <f t="shared" si="42"/>
        <v>8.0984497001535968E-2</v>
      </c>
      <c r="AA174">
        <f t="shared" si="43"/>
        <v>0.19422508629149604</v>
      </c>
    </row>
    <row r="175" spans="8:27" x14ac:dyDescent="0.25">
      <c r="H175" s="15">
        <f t="shared" si="55"/>
        <v>1.6900000000000013</v>
      </c>
      <c r="I175" s="9">
        <f t="shared" si="37"/>
        <v>48.840038272399219</v>
      </c>
      <c r="J175">
        <f t="shared" si="51"/>
        <v>48.888349242741043</v>
      </c>
      <c r="K175">
        <f t="shared" si="54"/>
        <v>49.944063054363241</v>
      </c>
      <c r="M175" s="15">
        <f t="shared" si="56"/>
        <v>1.6900000000000013</v>
      </c>
      <c r="N175">
        <f t="shared" si="52"/>
        <v>7.8935000458620869E-2</v>
      </c>
      <c r="O175">
        <f t="shared" si="38"/>
        <v>0.11043101601278973</v>
      </c>
      <c r="P175">
        <f t="shared" si="46"/>
        <v>-4.3868427078448444E-2</v>
      </c>
      <c r="Q175">
        <f t="shared" si="47"/>
        <v>-0.2809573277170338</v>
      </c>
      <c r="R175">
        <f t="shared" si="39"/>
        <v>-0.1995804530937754</v>
      </c>
      <c r="S175">
        <f t="shared" si="40"/>
        <v>1.2896766438331014E-3</v>
      </c>
      <c r="U175" s="15">
        <f t="shared" si="57"/>
        <v>1.6900000000000013</v>
      </c>
      <c r="V175">
        <f t="shared" si="53"/>
        <v>19.968438997254765</v>
      </c>
      <c r="W175">
        <f t="shared" si="41"/>
        <v>3.1561002745235101E-2</v>
      </c>
      <c r="X175">
        <f t="shared" si="49"/>
        <v>5.7395152908005223</v>
      </c>
      <c r="Y175">
        <f t="shared" si="50"/>
        <v>-8.0984497001423961E-2</v>
      </c>
      <c r="Z175">
        <f t="shared" si="42"/>
        <v>7.8935000458620869E-2</v>
      </c>
      <c r="AA175">
        <f t="shared" si="43"/>
        <v>0.1893660164714106</v>
      </c>
    </row>
    <row r="176" spans="8:27" x14ac:dyDescent="0.25">
      <c r="H176" s="15">
        <f t="shared" si="55"/>
        <v>1.7000000000000013</v>
      </c>
      <c r="I176" s="9">
        <f t="shared" si="37"/>
        <v>48.865585140554295</v>
      </c>
      <c r="J176">
        <f t="shared" si="51"/>
        <v>48.913105744534612</v>
      </c>
      <c r="K176">
        <f t="shared" si="54"/>
        <v>49.945308772126616</v>
      </c>
      <c r="M176" s="15">
        <f t="shared" si="56"/>
        <v>1.7000000000000013</v>
      </c>
      <c r="N176">
        <f t="shared" si="52"/>
        <v>7.6939195927683113E-2</v>
      </c>
      <c r="O176">
        <f t="shared" si="38"/>
        <v>0.10769072051622003</v>
      </c>
      <c r="P176">
        <f t="shared" si="46"/>
        <v>-4.2777818395803392E-2</v>
      </c>
      <c r="Q176">
        <f t="shared" si="47"/>
        <v>-0.27402954965697057</v>
      </c>
      <c r="R176">
        <f t="shared" si="39"/>
        <v>-0.19436595147615468</v>
      </c>
      <c r="S176">
        <f t="shared" si="40"/>
        <v>1.2479464431466025E-3</v>
      </c>
      <c r="U176" s="15">
        <f t="shared" si="57"/>
        <v>1.7000000000000013</v>
      </c>
      <c r="V176">
        <f t="shared" si="53"/>
        <v>19.969228347259349</v>
      </c>
      <c r="W176">
        <f t="shared" si="41"/>
        <v>3.0771652740650524E-2</v>
      </c>
      <c r="X176">
        <f t="shared" si="49"/>
        <v>5.7398269540779516</v>
      </c>
      <c r="Y176">
        <f t="shared" si="50"/>
        <v>-7.8935000458457694E-2</v>
      </c>
      <c r="Z176">
        <f t="shared" si="42"/>
        <v>7.6939195927683113E-2</v>
      </c>
      <c r="AA176">
        <f t="shared" si="43"/>
        <v>0.18462991644390314</v>
      </c>
    </row>
    <row r="177" spans="8:27" x14ac:dyDescent="0.25">
      <c r="H177" s="15">
        <f t="shared" si="55"/>
        <v>1.7100000000000013</v>
      </c>
      <c r="I177" s="9">
        <f t="shared" si="37"/>
        <v>48.890569367324751</v>
      </c>
      <c r="J177">
        <f t="shared" si="51"/>
        <v>48.937310918155141</v>
      </c>
      <c r="K177">
        <f t="shared" si="54"/>
        <v>49.946526747711211</v>
      </c>
      <c r="M177" s="15">
        <f t="shared" si="56"/>
        <v>1.7100000000000013</v>
      </c>
      <c r="N177">
        <f t="shared" si="52"/>
        <v>7.499553641292156E-2</v>
      </c>
      <c r="O177">
        <f t="shared" si="38"/>
        <v>0.10501802827531659</v>
      </c>
      <c r="P177">
        <f t="shared" si="46"/>
        <v>-4.1714274651845712E-2</v>
      </c>
      <c r="Q177">
        <f t="shared" si="47"/>
        <v>-0.26726922409034404</v>
      </c>
      <c r="R177">
        <f t="shared" si="39"/>
        <v>-0.18930064881555689</v>
      </c>
      <c r="S177">
        <f t="shared" si="40"/>
        <v>1.2080089494988233E-3</v>
      </c>
      <c r="U177" s="15">
        <f t="shared" si="57"/>
        <v>1.7100000000000013</v>
      </c>
      <c r="V177">
        <f t="shared" si="53"/>
        <v>19.969997739218627</v>
      </c>
      <c r="W177">
        <f t="shared" si="41"/>
        <v>3.0002260781373025E-2</v>
      </c>
      <c r="X177">
        <f t="shared" si="49"/>
        <v>5.7401308236455622</v>
      </c>
      <c r="Y177">
        <f t="shared" si="50"/>
        <v>-7.6939195927749893E-2</v>
      </c>
      <c r="Z177">
        <f t="shared" si="42"/>
        <v>7.499553641292156E-2</v>
      </c>
      <c r="AA177">
        <f t="shared" si="43"/>
        <v>0.18001356468823815</v>
      </c>
    </row>
    <row r="178" spans="8:27" x14ac:dyDescent="0.25">
      <c r="H178" s="15">
        <f t="shared" si="55"/>
        <v>1.7200000000000013</v>
      </c>
      <c r="I178" s="9">
        <f t="shared" si="37"/>
        <v>48.915003344261891</v>
      </c>
      <c r="J178">
        <f t="shared" si="51"/>
        <v>48.960977041700602</v>
      </c>
      <c r="K178">
        <f t="shared" si="54"/>
        <v>49.947717598936336</v>
      </c>
      <c r="M178" s="15">
        <f t="shared" si="56"/>
        <v>1.7200000000000013</v>
      </c>
      <c r="N178">
        <f t="shared" si="52"/>
        <v>7.3102529924765985E-2</v>
      </c>
      <c r="O178">
        <f t="shared" si="38"/>
        <v>0.10241130257870332</v>
      </c>
      <c r="P178">
        <f t="shared" si="46"/>
        <v>-4.0677127997575613E-2</v>
      </c>
      <c r="Q178">
        <f t="shared" si="47"/>
        <v>-0.26067256966132712</v>
      </c>
      <c r="R178">
        <f t="shared" si="39"/>
        <v>-0.18437931057480564</v>
      </c>
      <c r="S178">
        <f t="shared" si="40"/>
        <v>1.1697605270847011E-3</v>
      </c>
      <c r="U178" s="15">
        <f t="shared" si="57"/>
        <v>1.7200000000000013</v>
      </c>
      <c r="V178">
        <f t="shared" si="53"/>
        <v>19.970747694582755</v>
      </c>
      <c r="W178">
        <f t="shared" si="41"/>
        <v>2.9252305417244884E-2</v>
      </c>
      <c r="X178">
        <f t="shared" si="49"/>
        <v>5.7404270964765551</v>
      </c>
      <c r="Y178">
        <f t="shared" si="50"/>
        <v>-7.499553641281409E-2</v>
      </c>
      <c r="Z178">
        <f t="shared" si="42"/>
        <v>7.3102529924765985E-2</v>
      </c>
      <c r="AA178">
        <f t="shared" si="43"/>
        <v>0.1755138325034693</v>
      </c>
    </row>
    <row r="179" spans="8:27" x14ac:dyDescent="0.25">
      <c r="H179" s="15">
        <f t="shared" si="55"/>
        <v>1.7300000000000013</v>
      </c>
      <c r="I179" s="9">
        <f t="shared" si="37"/>
        <v>48.938899190006879</v>
      </c>
      <c r="J179">
        <f t="shared" si="51"/>
        <v>48.984116119835285</v>
      </c>
      <c r="K179">
        <f t="shared" si="54"/>
        <v>49.948881929862438</v>
      </c>
      <c r="M179" s="15">
        <f t="shared" si="56"/>
        <v>1.7300000000000013</v>
      </c>
      <c r="N179">
        <f t="shared" si="52"/>
        <v>7.1258736819017926E-2</v>
      </c>
      <c r="O179">
        <f t="shared" si="38"/>
        <v>9.9868943888957645E-2</v>
      </c>
      <c r="P179">
        <f t="shared" si="46"/>
        <v>-3.9665726765237309E-2</v>
      </c>
      <c r="Q179">
        <f t="shared" si="47"/>
        <v>-0.25423586897456718</v>
      </c>
      <c r="R179">
        <f t="shared" si="39"/>
        <v>-0.17959695157708552</v>
      </c>
      <c r="S179">
        <f t="shared" si="40"/>
        <v>1.1331047380169212E-3</v>
      </c>
      <c r="U179" s="15">
        <f t="shared" si="57"/>
        <v>1.7300000000000013</v>
      </c>
      <c r="V179">
        <f t="shared" si="53"/>
        <v>19.971478719882004</v>
      </c>
      <c r="W179">
        <f t="shared" si="41"/>
        <v>2.8521280117995929E-2</v>
      </c>
      <c r="X179">
        <f t="shared" si="49"/>
        <v>5.7407159644042309</v>
      </c>
      <c r="Y179">
        <f t="shared" si="50"/>
        <v>-7.3102529924895521E-2</v>
      </c>
      <c r="Z179">
        <f t="shared" si="42"/>
        <v>7.1258736819017926E-2</v>
      </c>
      <c r="AA179">
        <f t="shared" si="43"/>
        <v>0.17112768070797557</v>
      </c>
    </row>
    <row r="180" spans="8:27" x14ac:dyDescent="0.25">
      <c r="H180" s="15">
        <f t="shared" si="55"/>
        <v>1.7400000000000013</v>
      </c>
      <c r="I180" s="9">
        <f t="shared" si="37"/>
        <v>48.962268756301285</v>
      </c>
      <c r="J180">
        <f t="shared" si="51"/>
        <v>49.006739889879185</v>
      </c>
      <c r="K180">
        <f t="shared" si="54"/>
        <v>49.950020331097519</v>
      </c>
      <c r="M180" s="15">
        <f t="shared" si="56"/>
        <v>1.7400000000000013</v>
      </c>
      <c r="N180">
        <f t="shared" si="52"/>
        <v>6.9462767303247075E-2</v>
      </c>
      <c r="O180">
        <f t="shared" si="38"/>
        <v>9.7389389195579712E-2</v>
      </c>
      <c r="P180">
        <f t="shared" si="46"/>
        <v>-3.867943509981462E-2</v>
      </c>
      <c r="Q180">
        <f t="shared" si="47"/>
        <v>-0.24795546933779333</v>
      </c>
      <c r="R180">
        <f t="shared" si="39"/>
        <v>-0.17494882047168861</v>
      </c>
      <c r="S180">
        <f t="shared" si="40"/>
        <v>1.0979518012916023E-3</v>
      </c>
      <c r="U180" s="15">
        <f t="shared" si="57"/>
        <v>1.7400000000000013</v>
      </c>
      <c r="V180">
        <f t="shared" si="53"/>
        <v>19.972191307250196</v>
      </c>
      <c r="W180">
        <f t="shared" si="41"/>
        <v>2.7808692749804464E-2</v>
      </c>
      <c r="X180">
        <f t="shared" si="49"/>
        <v>5.7409976142685704</v>
      </c>
      <c r="Y180">
        <f t="shared" si="50"/>
        <v>-7.1258736819146407E-2</v>
      </c>
      <c r="Z180">
        <f t="shared" si="42"/>
        <v>6.9462767303247075E-2</v>
      </c>
      <c r="AA180">
        <f t="shared" si="43"/>
        <v>0.16685215649882679</v>
      </c>
    </row>
    <row r="181" spans="8:27" x14ac:dyDescent="0.25">
      <c r="H181" s="15">
        <f t="shared" si="55"/>
        <v>1.7500000000000013</v>
      </c>
      <c r="I181" s="9">
        <f t="shared" si="37"/>
        <v>48.985123633865236</v>
      </c>
      <c r="J181">
        <f t="shared" si="51"/>
        <v>49.028859827761757</v>
      </c>
      <c r="K181">
        <f t="shared" si="54"/>
        <v>49.951133380096721</v>
      </c>
      <c r="M181" s="15">
        <f t="shared" si="56"/>
        <v>1.7500000000000013</v>
      </c>
      <c r="N181">
        <f t="shared" si="52"/>
        <v>6.7713279098530185E-2</v>
      </c>
      <c r="O181">
        <f t="shared" si="38"/>
        <v>9.497111136211013E-2</v>
      </c>
      <c r="P181">
        <f t="shared" si="46"/>
        <v>-3.7717632597026172E-2</v>
      </c>
      <c r="Q181">
        <f t="shared" si="47"/>
        <v>-0.24182778334695815</v>
      </c>
      <c r="R181">
        <f t="shared" si="39"/>
        <v>-0.17043038533207647</v>
      </c>
      <c r="S181">
        <f t="shared" si="40"/>
        <v>1.0642180943801899E-3</v>
      </c>
      <c r="U181" s="15">
        <f t="shared" si="57"/>
        <v>1.7500000000000013</v>
      </c>
      <c r="V181">
        <f t="shared" si="53"/>
        <v>19.972885934923227</v>
      </c>
      <c r="W181">
        <f t="shared" si="41"/>
        <v>2.7114065076773386E-2</v>
      </c>
      <c r="X181">
        <f t="shared" si="49"/>
        <v>5.7412722280577029</v>
      </c>
      <c r="Y181">
        <f t="shared" si="50"/>
        <v>-6.9462767303107853E-2</v>
      </c>
      <c r="Z181">
        <f t="shared" si="42"/>
        <v>6.7713279098530185E-2</v>
      </c>
      <c r="AA181">
        <f t="shared" si="43"/>
        <v>0.16268439046064032</v>
      </c>
    </row>
    <row r="182" spans="8:27" x14ac:dyDescent="0.25">
      <c r="H182" s="15">
        <f t="shared" si="55"/>
        <v>1.7600000000000013</v>
      </c>
      <c r="I182" s="9">
        <f t="shared" si="37"/>
        <v>49.007475158146107</v>
      </c>
      <c r="J182">
        <f t="shared" si="51"/>
        <v>49.050487153843108</v>
      </c>
      <c r="K182">
        <f t="shared" si="54"/>
        <v>49.952221641455232</v>
      </c>
      <c r="M182" s="15">
        <f t="shared" si="56"/>
        <v>1.7600000000000013</v>
      </c>
      <c r="N182">
        <f t="shared" si="52"/>
        <v>6.600897524520942E-2</v>
      </c>
      <c r="O182">
        <f t="shared" si="38"/>
        <v>9.2612618469510757E-2</v>
      </c>
      <c r="P182">
        <f t="shared" si="46"/>
        <v>-3.6779713947868067E-2</v>
      </c>
      <c r="Q182">
        <f t="shared" si="47"/>
        <v>-0.23584928925993731</v>
      </c>
      <c r="R182">
        <f t="shared" si="39"/>
        <v>-0.16603732027748411</v>
      </c>
      <c r="S182">
        <f t="shared" si="40"/>
        <v>1.0318256929181813E-3</v>
      </c>
      <c r="U182" s="15">
        <f t="shared" si="57"/>
        <v>1.7600000000000013</v>
      </c>
      <c r="V182">
        <f t="shared" si="53"/>
        <v>19.973563067714213</v>
      </c>
      <c r="W182">
        <f t="shared" si="41"/>
        <v>2.6436932285786696E-2</v>
      </c>
      <c r="X182">
        <f t="shared" si="49"/>
        <v>5.7415399830445155</v>
      </c>
      <c r="Y182">
        <f t="shared" si="50"/>
        <v>-6.7713279098668977E-2</v>
      </c>
      <c r="Z182">
        <f t="shared" si="42"/>
        <v>6.600897524520942E-2</v>
      </c>
      <c r="AA182">
        <f t="shared" si="43"/>
        <v>0.15862159371472018</v>
      </c>
    </row>
    <row r="183" spans="8:27" x14ac:dyDescent="0.25">
      <c r="H183" s="15">
        <f t="shared" si="55"/>
        <v>1.7700000000000014</v>
      </c>
      <c r="I183" s="9">
        <f t="shared" si="37"/>
        <v>49.029334414940664</v>
      </c>
      <c r="J183">
        <f t="shared" si="51"/>
        <v>49.071632838605524</v>
      </c>
      <c r="K183">
        <f t="shared" si="54"/>
        <v>49.953285667194685</v>
      </c>
      <c r="M183" s="15">
        <f t="shared" si="56"/>
        <v>1.7700000000000014</v>
      </c>
      <c r="N183">
        <f t="shared" si="52"/>
        <v>6.4348602042434574E-2</v>
      </c>
      <c r="O183">
        <f t="shared" si="38"/>
        <v>9.0312453157581477E-2</v>
      </c>
      <c r="P183">
        <f t="shared" si="46"/>
        <v>-3.5865088589732606E-2</v>
      </c>
      <c r="Q183">
        <f t="shared" si="47"/>
        <v>-0.23001653119292809</v>
      </c>
      <c r="R183">
        <f t="shared" si="39"/>
        <v>-0.16176549303879451</v>
      </c>
      <c r="S183">
        <f t="shared" si="40"/>
        <v>1.0007019454293664E-3</v>
      </c>
      <c r="U183" s="15">
        <f t="shared" si="57"/>
        <v>1.7700000000000014</v>
      </c>
      <c r="V183">
        <f t="shared" si="53"/>
        <v>19.974223157466664</v>
      </c>
      <c r="W183">
        <f t="shared" si="41"/>
        <v>2.5776842533336009E-2</v>
      </c>
      <c r="X183">
        <f t="shared" si="49"/>
        <v>5.7418010519186113</v>
      </c>
      <c r="Y183">
        <f t="shared" si="50"/>
        <v>-6.6008975245068768E-2</v>
      </c>
      <c r="Z183">
        <f t="shared" si="42"/>
        <v>6.4348602042434574E-2</v>
      </c>
      <c r="AA183">
        <f t="shared" si="43"/>
        <v>0.15466105520001605</v>
      </c>
    </row>
    <row r="184" spans="8:27" x14ac:dyDescent="0.25">
      <c r="H184" s="15">
        <f t="shared" si="55"/>
        <v>1.7800000000000014</v>
      </c>
      <c r="I184" s="9">
        <f t="shared" si="37"/>
        <v>49.050712245893301</v>
      </c>
      <c r="J184">
        <f t="shared" si="51"/>
        <v>49.092307608218256</v>
      </c>
      <c r="K184">
        <f t="shared" si="54"/>
        <v>49.954325997043178</v>
      </c>
      <c r="M184" s="15">
        <f t="shared" si="56"/>
        <v>1.7800000000000014</v>
      </c>
      <c r="N184">
        <f t="shared" si="52"/>
        <v>6.2730947112046631E-2</v>
      </c>
      <c r="O184">
        <f t="shared" si="38"/>
        <v>8.8069191965414295E-2</v>
      </c>
      <c r="P184">
        <f t="shared" si="46"/>
        <v>-3.4973180364117624E-2</v>
      </c>
      <c r="Q184">
        <f t="shared" si="47"/>
        <v>-0.22432611921671813</v>
      </c>
      <c r="R184">
        <f t="shared" si="39"/>
        <v>-0.15761095342627843</v>
      </c>
      <c r="S184">
        <f t="shared" si="40"/>
        <v>9.7077908192670648E-4</v>
      </c>
      <c r="U184" s="15">
        <f t="shared" si="57"/>
        <v>1.7800000000000014</v>
      </c>
      <c r="V184">
        <f t="shared" si="53"/>
        <v>19.97486664348709</v>
      </c>
      <c r="W184">
        <f t="shared" si="41"/>
        <v>2.5133356512910154E-2</v>
      </c>
      <c r="X184">
        <f t="shared" si="49"/>
        <v>5.742055602913843</v>
      </c>
      <c r="Y184">
        <f t="shared" si="50"/>
        <v>-6.4348602042585412E-2</v>
      </c>
      <c r="Z184">
        <f t="shared" si="42"/>
        <v>6.2730947112046631E-2</v>
      </c>
      <c r="AA184">
        <f t="shared" si="43"/>
        <v>0.15080013907746093</v>
      </c>
    </row>
    <row r="185" spans="8:27" x14ac:dyDescent="0.25">
      <c r="H185" s="15">
        <f t="shared" si="55"/>
        <v>1.7900000000000014</v>
      </c>
      <c r="I185" s="9">
        <f t="shared" si="37"/>
        <v>49.071619253873259</v>
      </c>
      <c r="J185">
        <f t="shared" si="51"/>
        <v>49.112521949978394</v>
      </c>
      <c r="K185">
        <f t="shared" si="54"/>
        <v>49.955343158709049</v>
      </c>
      <c r="M185" s="15">
        <f t="shared" si="56"/>
        <v>1.7900000000000014</v>
      </c>
      <c r="N185">
        <f t="shared" si="52"/>
        <v>6.1154837577783845E-2</v>
      </c>
      <c r="O185">
        <f t="shared" si="38"/>
        <v>8.5881444672954443E-2</v>
      </c>
      <c r="P185">
        <f t="shared" si="46"/>
        <v>-3.410342718092578E-2</v>
      </c>
      <c r="Q185">
        <f t="shared" si="47"/>
        <v>-0.21877472924598518</v>
      </c>
      <c r="R185">
        <f t="shared" si="39"/>
        <v>-0.15356992258299887</v>
      </c>
      <c r="S185">
        <f t="shared" si="40"/>
        <v>9.4199385117987866E-4</v>
      </c>
      <c r="U185" s="15">
        <f t="shared" si="57"/>
        <v>1.7900000000000014</v>
      </c>
      <c r="V185">
        <f t="shared" si="53"/>
        <v>19.97549395295821</v>
      </c>
      <c r="W185">
        <f t="shared" si="41"/>
        <v>2.4506047041789714E-2</v>
      </c>
      <c r="X185">
        <f t="shared" si="49"/>
        <v>5.7423037999316167</v>
      </c>
      <c r="Y185">
        <f t="shared" si="50"/>
        <v>-6.2730947112044078E-2</v>
      </c>
      <c r="Z185">
        <f t="shared" si="42"/>
        <v>6.1154837577783845E-2</v>
      </c>
      <c r="AA185">
        <f t="shared" si="43"/>
        <v>0.14703628225073828</v>
      </c>
    </row>
    <row r="186" spans="8:27" x14ac:dyDescent="0.25">
      <c r="H186" s="15">
        <f t="shared" si="55"/>
        <v>1.8000000000000014</v>
      </c>
      <c r="I186" s="9">
        <f t="shared" si="37"/>
        <v>49.09206580823335</v>
      </c>
      <c r="J186">
        <f t="shared" si="51"/>
        <v>49.132286117630549</v>
      </c>
      <c r="K186">
        <f t="shared" si="54"/>
        <v>49.956337668148542</v>
      </c>
      <c r="M186" s="15">
        <f t="shared" si="56"/>
        <v>1.8000000000000014</v>
      </c>
      <c r="N186">
        <f t="shared" si="52"/>
        <v>5.9619138351953857E-2</v>
      </c>
      <c r="O186">
        <f t="shared" si="38"/>
        <v>8.3747853644106876E-2</v>
      </c>
      <c r="P186">
        <f t="shared" si="46"/>
        <v>-3.3255280689340472E-2</v>
      </c>
      <c r="Q186">
        <f t="shared" si="47"/>
        <v>-0.21335910288475674</v>
      </c>
      <c r="R186">
        <f t="shared" si="39"/>
        <v>-0.14963878301905353</v>
      </c>
      <c r="S186">
        <f t="shared" si="40"/>
        <v>9.1428718733617409E-4</v>
      </c>
      <c r="U186" s="15">
        <f t="shared" si="57"/>
        <v>1.8000000000000014</v>
      </c>
      <c r="V186">
        <f t="shared" si="53"/>
        <v>19.97610550133399</v>
      </c>
      <c r="W186">
        <f t="shared" si="41"/>
        <v>2.3894498666010122E-2</v>
      </c>
      <c r="X186">
        <f t="shared" si="49"/>
        <v>5.7425458026601559</v>
      </c>
      <c r="Y186">
        <f t="shared" si="50"/>
        <v>-6.1154837577959142E-2</v>
      </c>
      <c r="Z186">
        <f t="shared" si="42"/>
        <v>5.9619138351953857E-2</v>
      </c>
      <c r="AA186">
        <f t="shared" si="43"/>
        <v>0.14336699199606073</v>
      </c>
    </row>
    <row r="187" spans="8:27" x14ac:dyDescent="0.25">
      <c r="H187" s="15">
        <f t="shared" si="55"/>
        <v>1.8100000000000014</v>
      </c>
      <c r="I187" s="9">
        <f t="shared" si="37"/>
        <v>49.112062049952918</v>
      </c>
      <c r="J187">
        <f t="shared" si="51"/>
        <v>49.151610136568067</v>
      </c>
      <c r="K187">
        <f t="shared" si="54"/>
        <v>49.957310029827546</v>
      </c>
      <c r="M187" s="15">
        <f t="shared" si="56"/>
        <v>1.8100000000000014</v>
      </c>
      <c r="N187">
        <f t="shared" si="52"/>
        <v>5.8122750521763321E-2</v>
      </c>
      <c r="O187">
        <f t="shared" si="38"/>
        <v>8.1667093173185629E-2</v>
      </c>
      <c r="P187">
        <f t="shared" si="46"/>
        <v>-3.2428205955254009E-2</v>
      </c>
      <c r="Q187">
        <f t="shared" si="47"/>
        <v>-0.20807604709212474</v>
      </c>
      <c r="R187">
        <f t="shared" si="39"/>
        <v>-0.14581406931564628</v>
      </c>
      <c r="S187">
        <f t="shared" si="40"/>
        <v>8.8760390082003038E-4</v>
      </c>
      <c r="U187" s="15">
        <f t="shared" si="57"/>
        <v>1.8100000000000014</v>
      </c>
      <c r="V187">
        <f t="shared" si="53"/>
        <v>19.976701692717509</v>
      </c>
      <c r="W187">
        <f t="shared" si="41"/>
        <v>2.3298307282491493E-2</v>
      </c>
      <c r="X187">
        <f t="shared" si="49"/>
        <v>5.7427817666898981</v>
      </c>
      <c r="Y187">
        <f t="shared" si="50"/>
        <v>-5.9619138351862944E-2</v>
      </c>
      <c r="Z187">
        <f t="shared" si="42"/>
        <v>5.8122750521763321E-2</v>
      </c>
      <c r="AA187">
        <f t="shared" si="43"/>
        <v>0.13978984369494896</v>
      </c>
    </row>
    <row r="188" spans="8:27" x14ac:dyDescent="0.25">
      <c r="H188" s="15">
        <f t="shared" si="55"/>
        <v>1.8200000000000014</v>
      </c>
      <c r="I188" s="9">
        <f t="shared" si="37"/>
        <v>49.1316178966675</v>
      </c>
      <c r="J188">
        <f t="shared" si="51"/>
        <v>49.17050380891844</v>
      </c>
      <c r="K188">
        <f t="shared" si="54"/>
        <v>49.958260736977465</v>
      </c>
      <c r="M188" s="15">
        <f t="shared" si="56"/>
        <v>1.8200000000000014</v>
      </c>
      <c r="N188">
        <f t="shared" si="52"/>
        <v>5.6664609828606854E-2</v>
      </c>
      <c r="O188">
        <f t="shared" si="38"/>
        <v>7.9637868835030462E-2</v>
      </c>
      <c r="P188">
        <f t="shared" si="46"/>
        <v>-3.1621681145212931E-2</v>
      </c>
      <c r="Q188">
        <f t="shared" si="47"/>
        <v>-0.20292243381551667</v>
      </c>
      <c r="R188">
        <f t="shared" si="39"/>
        <v>-0.1420924594960199</v>
      </c>
      <c r="S188">
        <f t="shared" si="40"/>
        <v>8.6189239415890295E-4</v>
      </c>
      <c r="U188" s="15">
        <f t="shared" si="57"/>
        <v>1.8200000000000014</v>
      </c>
      <c r="V188">
        <f t="shared" si="53"/>
        <v>19.977282920222727</v>
      </c>
      <c r="W188">
        <f t="shared" si="41"/>
        <v>2.2717079777272886E-2</v>
      </c>
      <c r="X188">
        <f t="shared" si="49"/>
        <v>5.7430118436251973</v>
      </c>
      <c r="Y188">
        <f t="shared" si="50"/>
        <v>-5.8122750521860667E-2</v>
      </c>
      <c r="Z188">
        <f t="shared" si="42"/>
        <v>5.6664609828606854E-2</v>
      </c>
      <c r="AA188">
        <f t="shared" si="43"/>
        <v>0.13630247866363732</v>
      </c>
    </row>
    <row r="189" spans="8:27" x14ac:dyDescent="0.25">
      <c r="H189" s="15">
        <f t="shared" si="55"/>
        <v>1.8300000000000014</v>
      </c>
      <c r="I189" s="9">
        <f t="shared" si="37"/>
        <v>49.150743047587738</v>
      </c>
      <c r="J189">
        <f t="shared" si="51"/>
        <v>49.188976718515427</v>
      </c>
      <c r="K189">
        <f t="shared" si="54"/>
        <v>49.959190271845436</v>
      </c>
      <c r="M189" s="15">
        <f t="shared" si="56"/>
        <v>1.8300000000000014</v>
      </c>
      <c r="N189">
        <f t="shared" si="52"/>
        <v>5.5243685233646658E-2</v>
      </c>
      <c r="O189">
        <f t="shared" si="38"/>
        <v>7.7658916840279688E-2</v>
      </c>
      <c r="P189">
        <f t="shared" si="46"/>
        <v>-3.083519721683638E-2</v>
      </c>
      <c r="Q189">
        <f t="shared" si="47"/>
        <v>-0.19789519947507744</v>
      </c>
      <c r="R189">
        <f t="shared" si="39"/>
        <v>-0.13847076696792607</v>
      </c>
      <c r="S189">
        <f t="shared" si="40"/>
        <v>8.3710439837329786E-4</v>
      </c>
      <c r="U189" s="15">
        <f t="shared" si="57"/>
        <v>1.8300000000000014</v>
      </c>
      <c r="V189">
        <f t="shared" si="53"/>
        <v>19.977849566321012</v>
      </c>
      <c r="W189">
        <f t="shared" si="41"/>
        <v>2.2150433678987724E-2</v>
      </c>
      <c r="X189">
        <f t="shared" si="49"/>
        <v>5.7432361811924784</v>
      </c>
      <c r="Y189">
        <f t="shared" si="50"/>
        <v>-5.6664609828516177E-2</v>
      </c>
      <c r="Z189">
        <f t="shared" si="42"/>
        <v>5.5243685233646658E-2</v>
      </c>
      <c r="AA189">
        <f t="shared" si="43"/>
        <v>0.13290260207392635</v>
      </c>
    </row>
    <row r="190" spans="8:27" x14ac:dyDescent="0.25">
      <c r="H190" s="15">
        <f t="shared" si="55"/>
        <v>1.8400000000000014</v>
      </c>
      <c r="I190" s="9">
        <f t="shared" si="37"/>
        <v>49.169446988309929</v>
      </c>
      <c r="J190">
        <f t="shared" si="51"/>
        <v>49.207038235760471</v>
      </c>
      <c r="K190">
        <f t="shared" si="54"/>
        <v>49.96009910593893</v>
      </c>
      <c r="M190" s="15">
        <f t="shared" si="56"/>
        <v>1.8400000000000014</v>
      </c>
      <c r="N190">
        <f t="shared" si="52"/>
        <v>5.3858977563967396E-2</v>
      </c>
      <c r="O190">
        <f t="shared" si="38"/>
        <v>7.5729003395929806E-2</v>
      </c>
      <c r="P190">
        <f t="shared" si="46"/>
        <v>-3.0068257615655333E-2</v>
      </c>
      <c r="Q190">
        <f t="shared" si="47"/>
        <v>-0.19299134443498817</v>
      </c>
      <c r="R190">
        <f t="shared" si="39"/>
        <v>-0.13494593304032559</v>
      </c>
      <c r="S190">
        <f t="shared" si="40"/>
        <v>8.1319473076695015E-4</v>
      </c>
      <c r="U190" s="15">
        <f t="shared" si="57"/>
        <v>1.8400000000000014</v>
      </c>
      <c r="V190">
        <f t="shared" si="53"/>
        <v>19.97840200317335</v>
      </c>
      <c r="W190">
        <f t="shared" si="41"/>
        <v>2.1597996826649535E-2</v>
      </c>
      <c r="X190">
        <f t="shared" si="49"/>
        <v>5.7434549233450065</v>
      </c>
      <c r="Y190">
        <f t="shared" si="50"/>
        <v>-5.5243685233818951E-2</v>
      </c>
      <c r="Z190">
        <f t="shared" si="42"/>
        <v>5.3858977563967396E-2</v>
      </c>
      <c r="AA190">
        <f t="shared" si="43"/>
        <v>0.12958798095989721</v>
      </c>
    </row>
    <row r="191" spans="8:27" x14ac:dyDescent="0.25">
      <c r="H191" s="15">
        <f t="shared" si="55"/>
        <v>1.8500000000000014</v>
      </c>
      <c r="I191" s="9">
        <f t="shared" si="37"/>
        <v>49.187738995520668</v>
      </c>
      <c r="J191">
        <f t="shared" si="51"/>
        <v>49.224697522375841</v>
      </c>
      <c r="K191">
        <f t="shared" si="54"/>
        <v>49.960987700264923</v>
      </c>
      <c r="M191" s="15">
        <f t="shared" si="56"/>
        <v>1.8500000000000014</v>
      </c>
      <c r="N191">
        <f t="shared" si="52"/>
        <v>5.2509518233564138E-2</v>
      </c>
      <c r="O191">
        <f t="shared" si="38"/>
        <v>7.3846924072490217E-2</v>
      </c>
      <c r="P191">
        <f t="shared" si="46"/>
        <v>-2.9320377978313234E-2</v>
      </c>
      <c r="Q191">
        <f t="shared" si="47"/>
        <v>-0.18820793234395894</v>
      </c>
      <c r="R191">
        <f t="shared" si="39"/>
        <v>-0.13151501992604608</v>
      </c>
      <c r="S191">
        <f t="shared" si="40"/>
        <v>7.9012107002532361E-4</v>
      </c>
      <c r="U191" s="15">
        <f t="shared" si="57"/>
        <v>1.8500000000000014</v>
      </c>
      <c r="V191">
        <f t="shared" si="53"/>
        <v>19.978940592948991</v>
      </c>
      <c r="W191">
        <f t="shared" si="41"/>
        <v>2.105940705100906E-2</v>
      </c>
      <c r="X191">
        <f t="shared" si="49"/>
        <v>5.7436682103643948</v>
      </c>
      <c r="Y191">
        <f t="shared" si="50"/>
        <v>-5.385897756404745E-2</v>
      </c>
      <c r="Z191">
        <f t="shared" si="42"/>
        <v>5.2509518233564138E-2</v>
      </c>
      <c r="AA191">
        <f t="shared" si="43"/>
        <v>0.12635644230605436</v>
      </c>
    </row>
    <row r="192" spans="8:27" x14ac:dyDescent="0.25">
      <c r="H192" s="15">
        <f t="shared" si="55"/>
        <v>1.8600000000000014</v>
      </c>
      <c r="I192" s="9">
        <f t="shared" si="37"/>
        <v>49.205628141597813</v>
      </c>
      <c r="J192">
        <f t="shared" si="51"/>
        <v>49.241963536051919</v>
      </c>
      <c r="K192">
        <f t="shared" si="54"/>
        <v>49.961856505563759</v>
      </c>
      <c r="M192" s="15">
        <f t="shared" si="56"/>
        <v>1.8600000000000014</v>
      </c>
      <c r="N192">
        <f t="shared" si="52"/>
        <v>5.1194368034303675E-2</v>
      </c>
      <c r="O192">
        <f t="shared" si="38"/>
        <v>7.2011503177732625E-2</v>
      </c>
      <c r="P192">
        <f t="shared" si="46"/>
        <v>-2.859108584206212E-2</v>
      </c>
      <c r="Q192">
        <f t="shared" si="47"/>
        <v>-0.18354208947575917</v>
      </c>
      <c r="R192">
        <f t="shared" si="39"/>
        <v>-0.1281752042376624</v>
      </c>
      <c r="S192">
        <f t="shared" si="40"/>
        <v>7.6784374960293944E-4</v>
      </c>
      <c r="U192" s="15">
        <f t="shared" si="57"/>
        <v>1.8600000000000014</v>
      </c>
      <c r="V192">
        <f t="shared" si="53"/>
        <v>19.979465688131327</v>
      </c>
      <c r="W192">
        <f t="shared" si="41"/>
        <v>2.0534311868672717E-2</v>
      </c>
      <c r="X192">
        <f t="shared" si="49"/>
        <v>5.7438761789589936</v>
      </c>
      <c r="Y192">
        <f t="shared" si="50"/>
        <v>-5.2509518233634367E-2</v>
      </c>
      <c r="Z192">
        <f t="shared" si="42"/>
        <v>5.1194368034303675E-2</v>
      </c>
      <c r="AA192">
        <f t="shared" si="43"/>
        <v>0.1232058712120363</v>
      </c>
    </row>
    <row r="193" spans="8:27" x14ac:dyDescent="0.25">
      <c r="H193" s="15">
        <f t="shared" si="55"/>
        <v>1.8700000000000014</v>
      </c>
      <c r="I193" s="9">
        <f t="shared" si="37"/>
        <v>49.223123299110192</v>
      </c>
      <c r="J193">
        <f t="shared" si="51"/>
        <v>49.258845034991019</v>
      </c>
      <c r="K193">
        <f t="shared" si="54"/>
        <v>49.962705962537775</v>
      </c>
      <c r="M193" s="15">
        <f t="shared" si="56"/>
        <v>1.8700000000000014</v>
      </c>
      <c r="N193">
        <f t="shared" si="52"/>
        <v>4.9912615991927048E-2</v>
      </c>
      <c r="O193">
        <f t="shared" si="38"/>
        <v>7.0221593138045144E-2</v>
      </c>
      <c r="P193">
        <f t="shared" si="46"/>
        <v>-2.7879920360483233E-2</v>
      </c>
      <c r="Q193">
        <f t="shared" si="47"/>
        <v>-0.17899100396874812</v>
      </c>
      <c r="R193">
        <f t="shared" si="39"/>
        <v>-0.12492377090314809</v>
      </c>
      <c r="S193">
        <f t="shared" si="40"/>
        <v>7.4632556601336719E-4</v>
      </c>
      <c r="U193" s="15">
        <f t="shared" si="57"/>
        <v>1.8700000000000014</v>
      </c>
      <c r="V193">
        <f t="shared" si="53"/>
        <v>19.979977631811671</v>
      </c>
      <c r="W193">
        <f t="shared" si="41"/>
        <v>2.0022368188328699E-2</v>
      </c>
      <c r="X193">
        <f t="shared" si="49"/>
        <v>5.7440789623592785</v>
      </c>
      <c r="Y193">
        <f t="shared" si="50"/>
        <v>-5.1194368034401805E-2</v>
      </c>
      <c r="Z193">
        <f t="shared" si="42"/>
        <v>4.9912615991927048E-2</v>
      </c>
      <c r="AA193">
        <f t="shared" si="43"/>
        <v>0.12013420912997219</v>
      </c>
    </row>
    <row r="194" spans="8:27" x14ac:dyDescent="0.25">
      <c r="H194" s="15">
        <f t="shared" si="55"/>
        <v>1.8800000000000014</v>
      </c>
      <c r="I194" s="9">
        <f t="shared" si="37"/>
        <v>49.240233145218163</v>
      </c>
      <c r="J194">
        <f t="shared" si="51"/>
        <v>49.275350582349972</v>
      </c>
      <c r="K194">
        <f t="shared" si="54"/>
        <v>49.963536502074852</v>
      </c>
      <c r="M194" s="15">
        <f t="shared" si="56"/>
        <v>1.8800000000000014</v>
      </c>
      <c r="N194">
        <f t="shared" si="52"/>
        <v>4.8663378282895568E-2</v>
      </c>
      <c r="O194">
        <f t="shared" si="38"/>
        <v>6.8476073887560052E-2</v>
      </c>
      <c r="P194">
        <f t="shared" si="46"/>
        <v>-2.7186432025355207E-2</v>
      </c>
      <c r="Q194">
        <f t="shared" si="47"/>
        <v>-0.17455192504850919</v>
      </c>
      <c r="R194">
        <f t="shared" si="39"/>
        <v>-0.12175810749414724</v>
      </c>
      <c r="S194">
        <f t="shared" si="40"/>
        <v>7.2553160214101908E-4</v>
      </c>
      <c r="U194" s="15">
        <f t="shared" si="57"/>
        <v>1.8800000000000014</v>
      </c>
      <c r="V194">
        <f t="shared" si="53"/>
        <v>19.980476757971591</v>
      </c>
      <c r="W194">
        <f t="shared" si="41"/>
        <v>1.9523242028409271E-2</v>
      </c>
      <c r="X194">
        <f t="shared" si="49"/>
        <v>5.7442766904103619</v>
      </c>
      <c r="Y194">
        <f t="shared" si="50"/>
        <v>-4.9912615991942744E-2</v>
      </c>
      <c r="Z194">
        <f t="shared" si="42"/>
        <v>4.8663378282895568E-2</v>
      </c>
      <c r="AA194">
        <f t="shared" si="43"/>
        <v>0.11713945217045563</v>
      </c>
    </row>
    <row r="195" spans="8:27" x14ac:dyDescent="0.25">
      <c r="H195" s="15">
        <f t="shared" si="55"/>
        <v>1.8900000000000015</v>
      </c>
      <c r="I195" s="9">
        <f t="shared" si="37"/>
        <v>49.256966165977268</v>
      </c>
      <c r="J195">
        <f t="shared" si="51"/>
        <v>49.2914885505838</v>
      </c>
      <c r="K195">
        <f t="shared" si="54"/>
        <v>49.964348545466976</v>
      </c>
      <c r="M195" s="15">
        <f t="shared" si="56"/>
        <v>1.8900000000000015</v>
      </c>
      <c r="N195">
        <f t="shared" si="52"/>
        <v>4.7445797207954096E-2</v>
      </c>
      <c r="O195">
        <f t="shared" si="38"/>
        <v>6.6773852265536296E-2</v>
      </c>
      <c r="P195">
        <f t="shared" si="46"/>
        <v>-2.6510182394589726E-2</v>
      </c>
      <c r="Q195">
        <f t="shared" si="47"/>
        <v>-0.17022216220237557</v>
      </c>
      <c r="R195">
        <f t="shared" si="39"/>
        <v>-0.11867569892677875</v>
      </c>
      <c r="S195">
        <f t="shared" si="40"/>
        <v>7.0542906389979565E-4</v>
      </c>
      <c r="U195" s="15">
        <f t="shared" si="57"/>
        <v>1.8900000000000015</v>
      </c>
      <c r="V195">
        <f t="shared" si="53"/>
        <v>19.980963391754418</v>
      </c>
      <c r="W195">
        <f t="shared" si="41"/>
        <v>1.9036608245581732E-2</v>
      </c>
      <c r="X195">
        <f t="shared" si="49"/>
        <v>5.7444694896617321</v>
      </c>
      <c r="Y195">
        <f t="shared" si="50"/>
        <v>-4.8663378282753911E-2</v>
      </c>
      <c r="Z195">
        <f t="shared" si="42"/>
        <v>4.7445797207954096E-2</v>
      </c>
      <c r="AA195">
        <f t="shared" si="43"/>
        <v>0.11421964947349039</v>
      </c>
    </row>
    <row r="196" spans="8:27" x14ac:dyDescent="0.25">
      <c r="H196" s="15">
        <f t="shared" si="55"/>
        <v>1.9000000000000015</v>
      </c>
      <c r="I196" s="9">
        <f t="shared" si="37"/>
        <v>49.27333066054711</v>
      </c>
      <c r="J196">
        <f t="shared" si="51"/>
        <v>49.307267125692661</v>
      </c>
      <c r="K196">
        <f t="shared" si="54"/>
        <v>49.965142504623955</v>
      </c>
      <c r="M196" s="15">
        <f t="shared" si="56"/>
        <v>1.9000000000000015</v>
      </c>
      <c r="N196">
        <f t="shared" si="52"/>
        <v>4.6259040218686306E-2</v>
      </c>
      <c r="O196">
        <f t="shared" si="38"/>
        <v>6.5113861422332678E-2</v>
      </c>
      <c r="P196">
        <f t="shared" si="46"/>
        <v>-2.585074382615038E-2</v>
      </c>
      <c r="Q196">
        <f t="shared" si="47"/>
        <v>-0.16599908432036181</v>
      </c>
      <c r="R196">
        <f t="shared" si="39"/>
        <v>-0.11567412250917926</v>
      </c>
      <c r="S196">
        <f t="shared" si="40"/>
        <v>6.8598712929016092E-4</v>
      </c>
      <c r="U196" s="15">
        <f t="shared" si="57"/>
        <v>1.9000000000000015</v>
      </c>
      <c r="V196">
        <f t="shared" si="53"/>
        <v>19.981437849726497</v>
      </c>
      <c r="W196">
        <f t="shared" si="41"/>
        <v>1.8562150273503164E-2</v>
      </c>
      <c r="X196">
        <f t="shared" si="49"/>
        <v>5.7446574834543274</v>
      </c>
      <c r="Y196">
        <f t="shared" si="50"/>
        <v>-4.7445797207856799E-2</v>
      </c>
      <c r="Z196">
        <f t="shared" si="42"/>
        <v>4.6259040218686306E-2</v>
      </c>
      <c r="AA196">
        <f t="shared" si="43"/>
        <v>0.11137290164101898</v>
      </c>
    </row>
    <row r="197" spans="8:27" x14ac:dyDescent="0.25">
      <c r="H197" s="15">
        <f t="shared" si="55"/>
        <v>1.9100000000000015</v>
      </c>
      <c r="I197" s="9">
        <f t="shared" si="37"/>
        <v>49.289334745307499</v>
      </c>
      <c r="J197">
        <f t="shared" si="51"/>
        <v>49.322694311374192</v>
      </c>
      <c r="K197">
        <f t="shared" si="54"/>
        <v>49.965918782282351</v>
      </c>
      <c r="M197" s="15">
        <f t="shared" si="56"/>
        <v>1.9100000000000015</v>
      </c>
      <c r="N197">
        <f t="shared" si="52"/>
        <v>4.5102298993594511E-2</v>
      </c>
      <c r="O197">
        <f t="shared" si="38"/>
        <v>6.3495060234305858E-2</v>
      </c>
      <c r="P197">
        <f t="shared" si="46"/>
        <v>-2.5207699217867186E-2</v>
      </c>
      <c r="Q197">
        <f t="shared" si="47"/>
        <v>-0.16188011880268194</v>
      </c>
      <c r="R197">
        <f t="shared" si="39"/>
        <v>-0.11275104330770459</v>
      </c>
      <c r="S197">
        <f t="shared" si="40"/>
        <v>6.6717680875102992E-4</v>
      </c>
      <c r="U197" s="15">
        <f t="shared" si="57"/>
        <v>1.9100000000000015</v>
      </c>
      <c r="V197">
        <f t="shared" si="53"/>
        <v>19.981900440128683</v>
      </c>
      <c r="W197">
        <f t="shared" si="41"/>
        <v>1.8099559871316728E-2</v>
      </c>
      <c r="X197">
        <f t="shared" si="49"/>
        <v>5.7448407920050517</v>
      </c>
      <c r="Y197">
        <f t="shared" si="50"/>
        <v>-4.6259040218643577E-2</v>
      </c>
      <c r="Z197">
        <f t="shared" si="42"/>
        <v>4.5102298993594511E-2</v>
      </c>
      <c r="AA197">
        <f t="shared" si="43"/>
        <v>0.10859735922790037</v>
      </c>
    </row>
    <row r="198" spans="8:27" x14ac:dyDescent="0.25">
      <c r="H198" s="15">
        <f t="shared" si="55"/>
        <v>1.9200000000000015</v>
      </c>
      <c r="I198" s="9">
        <f t="shared" si="37"/>
        <v>49.304986357884047</v>
      </c>
      <c r="J198">
        <f t="shared" si="51"/>
        <v>49.337777933083409</v>
      </c>
      <c r="K198">
        <f t="shared" si="54"/>
        <v>49.966677772209756</v>
      </c>
      <c r="M198" s="15">
        <f t="shared" si="56"/>
        <v>1.9200000000000015</v>
      </c>
      <c r="N198">
        <f t="shared" si="52"/>
        <v>4.3974788560517467E-2</v>
      </c>
      <c r="O198">
        <f t="shared" si="38"/>
        <v>6.1916432727771295E-2</v>
      </c>
      <c r="P198">
        <f t="shared" si="46"/>
        <v>-2.4580641753056801E-2</v>
      </c>
      <c r="Q198">
        <f t="shared" si="47"/>
        <v>-0.15786275065345634</v>
      </c>
      <c r="R198">
        <f t="shared" si="39"/>
        <v>-0.10990420981490542</v>
      </c>
      <c r="S198">
        <f t="shared" si="40"/>
        <v>6.4897081627597608E-4</v>
      </c>
      <c r="U198" s="15">
        <f t="shared" si="57"/>
        <v>1.9200000000000015</v>
      </c>
      <c r="V198">
        <f t="shared" si="53"/>
        <v>19.982351463118619</v>
      </c>
      <c r="W198">
        <f t="shared" si="41"/>
        <v>1.764853688138146E-2</v>
      </c>
      <c r="X198">
        <f t="shared" si="49"/>
        <v>5.7450195324888149</v>
      </c>
      <c r="Y198">
        <f t="shared" si="50"/>
        <v>-4.5102298993526801E-2</v>
      </c>
      <c r="Z198">
        <f t="shared" si="42"/>
        <v>4.3974788560517467E-2</v>
      </c>
      <c r="AA198">
        <f t="shared" si="43"/>
        <v>0.10589122128828876</v>
      </c>
    </row>
    <row r="199" spans="8:27" x14ac:dyDescent="0.25">
      <c r="H199" s="15">
        <f t="shared" si="55"/>
        <v>1.9300000000000015</v>
      </c>
      <c r="I199" s="9">
        <f t="shared" ref="I199:I262" si="58">DEGREES(-2*$E$5/$C$6*$C$9/$C$8*$C$18*(1-EXP(-$C$20*H199)))</f>
        <v>49.320293261084927</v>
      </c>
      <c r="J199">
        <f t="shared" si="51"/>
        <v>49.352525642002156</v>
      </c>
      <c r="K199">
        <f t="shared" si="54"/>
        <v>49.967419859404558</v>
      </c>
      <c r="M199" s="15">
        <f t="shared" si="56"/>
        <v>1.9300000000000015</v>
      </c>
      <c r="N199">
        <f t="shared" si="52"/>
        <v>4.2875746462368414E-2</v>
      </c>
      <c r="O199">
        <f t="shared" ref="O199:O262" si="59">AA199-N199</f>
        <v>6.0376987512295199E-2</v>
      </c>
      <c r="P199">
        <f t="shared" si="46"/>
        <v>-2.3969174651856467E-2</v>
      </c>
      <c r="Q199">
        <f t="shared" si="47"/>
        <v>-0.15394452154760957</v>
      </c>
      <c r="R199">
        <f t="shared" ref="R199:R262" si="60">DEGREES($E$6*$C$5*$C$6^2*$E$5/(4*$C$7)*$C$8*RADIANS(N199)+$E$6*$C$5*$C$6*$E$5^2/(2*$C$7)*$C$9*RADIANS(S199))</f>
        <v>-0.10713144989179017</v>
      </c>
      <c r="S199">
        <f t="shared" ref="S199:S262" si="61">MAX(MIN($C$34*O199+$C$35*P199+$C$36*Q199,21.5),-21.5)</f>
        <v>6.3134345016803428E-4</v>
      </c>
      <c r="U199" s="15">
        <f t="shared" si="57"/>
        <v>1.9300000000000015</v>
      </c>
      <c r="V199">
        <f t="shared" si="53"/>
        <v>19.982791211004223</v>
      </c>
      <c r="W199">
        <f t="shared" ref="W199:W262" si="62">$E$9-V199</f>
        <v>1.7208788995777269E-2</v>
      </c>
      <c r="X199">
        <f t="shared" si="49"/>
        <v>5.7451938191182004</v>
      </c>
      <c r="Y199">
        <f t="shared" si="50"/>
        <v>-4.3974788560419142E-2</v>
      </c>
      <c r="Z199">
        <f t="shared" ref="Z199:Z262" si="63">N199</f>
        <v>4.2875746462368414E-2</v>
      </c>
      <c r="AA199">
        <f t="shared" ref="AA199:AA262" si="64">$C$39*W199+$C$40*X199+$C$41*Y199</f>
        <v>0.10325273397466361</v>
      </c>
    </row>
    <row r="200" spans="8:27" x14ac:dyDescent="0.25">
      <c r="H200" s="15">
        <f t="shared" si="55"/>
        <v>1.9400000000000015</v>
      </c>
      <c r="I200" s="9">
        <f t="shared" si="58"/>
        <v>49.33526304675113</v>
      </c>
      <c r="J200">
        <f t="shared" si="51"/>
        <v>49.36694491892019</v>
      </c>
      <c r="K200">
        <f t="shared" si="54"/>
        <v>49.968145420291208</v>
      </c>
      <c r="M200" s="15">
        <f t="shared" si="56"/>
        <v>1.9400000000000015</v>
      </c>
      <c r="N200">
        <f t="shared" si="52"/>
        <v>4.180443196345051E-2</v>
      </c>
      <c r="O200">
        <f t="shared" si="59"/>
        <v>5.8875757223481047E-2</v>
      </c>
      <c r="P200">
        <f t="shared" ref="P200:P263" si="65">IF(ABS(S199)&gt;21, P199, P199+(O200+O199)*$E$8/2)</f>
        <v>-2.3372910928177587E-2</v>
      </c>
      <c r="Q200">
        <f t="shared" ref="Q200:Q263" si="66">(O200-O199)/$E$8</f>
        <v>-0.15012302888141524</v>
      </c>
      <c r="R200">
        <f t="shared" si="60"/>
        <v>-0.10443066696547999</v>
      </c>
      <c r="S200">
        <f t="shared" si="61"/>
        <v>6.1427048273999391E-4</v>
      </c>
      <c r="U200" s="15">
        <f t="shared" si="57"/>
        <v>1.9400000000000015</v>
      </c>
      <c r="V200">
        <f t="shared" si="53"/>
        <v>19.983219968468845</v>
      </c>
      <c r="W200">
        <f t="shared" si="62"/>
        <v>1.6780031531155259E-2</v>
      </c>
      <c r="X200">
        <f t="shared" ref="X200:X263" si="67">X199+(W200+W199)*$E$8/2</f>
        <v>5.7453637632208352</v>
      </c>
      <c r="Y200">
        <f t="shared" ref="Y200:Y263" si="68">(W200-W199)/$E$8</f>
        <v>-4.2875746462200937E-2</v>
      </c>
      <c r="Z200">
        <f t="shared" si="63"/>
        <v>4.180443196345051E-2</v>
      </c>
      <c r="AA200">
        <f t="shared" si="64"/>
        <v>0.10068018918693156</v>
      </c>
    </row>
    <row r="201" spans="8:27" x14ac:dyDescent="0.25">
      <c r="H201" s="15">
        <f t="shared" si="55"/>
        <v>1.9500000000000015</v>
      </c>
      <c r="I201" s="9">
        <f t="shared" si="58"/>
        <v>49.349903139521771</v>
      </c>
      <c r="J201">
        <f t="shared" ref="J201:J264" si="69">J200+$E$8*DEGREES($E$6*$C$5*$C$6^2*$E$5/(4*$C$7)*$C$8*RADIANS(J200) +$E$6*$C$5*$C$6*$E$5^2/(2*$C$7)*$C$9*$C$18)</f>
        <v>49.381043078029819</v>
      </c>
      <c r="K201">
        <f t="shared" si="54"/>
        <v>49.968854822911183</v>
      </c>
      <c r="M201" s="15">
        <f t="shared" si="56"/>
        <v>1.9500000000000015</v>
      </c>
      <c r="N201">
        <f t="shared" ref="N201:N264" si="70">N200+$E$8*R200</f>
        <v>4.0760125293795711E-2</v>
      </c>
      <c r="O201">
        <f t="shared" si="59"/>
        <v>5.7411797975331892E-2</v>
      </c>
      <c r="P201">
        <f t="shared" si="65"/>
        <v>-2.2791473152183522E-2</v>
      </c>
      <c r="Q201">
        <f t="shared" si="66"/>
        <v>-0.14639592481491548</v>
      </c>
      <c r="R201">
        <f t="shared" si="60"/>
        <v>-0.10179983646628921</v>
      </c>
      <c r="S201">
        <f t="shared" si="61"/>
        <v>5.9772905840298207E-4</v>
      </c>
      <c r="U201" s="15">
        <f t="shared" si="57"/>
        <v>1.9500000000000015</v>
      </c>
      <c r="V201">
        <f t="shared" ref="V201:V264" si="71">V200+$E$8*Z200</f>
        <v>19.983638012788479</v>
      </c>
      <c r="W201">
        <f t="shared" si="62"/>
        <v>1.6361987211521267E-2</v>
      </c>
      <c r="X201">
        <f t="shared" si="67"/>
        <v>5.7455294733145488</v>
      </c>
      <c r="Y201">
        <f t="shared" si="68"/>
        <v>-4.1804431963399225E-2</v>
      </c>
      <c r="Z201">
        <f t="shared" si="63"/>
        <v>4.0760125293795711E-2</v>
      </c>
      <c r="AA201">
        <f t="shared" si="64"/>
        <v>9.8171923269127603E-2</v>
      </c>
    </row>
    <row r="202" spans="8:27" x14ac:dyDescent="0.25">
      <c r="H202" s="15">
        <f t="shared" si="55"/>
        <v>1.9600000000000015</v>
      </c>
      <c r="I202" s="9">
        <f t="shared" si="58"/>
        <v>49.364220800516513</v>
      </c>
      <c r="J202">
        <f t="shared" si="69"/>
        <v>49.394827270636029</v>
      </c>
      <c r="K202">
        <f t="shared" si="54"/>
        <v>49.969548427109643</v>
      </c>
      <c r="M202" s="15">
        <f t="shared" si="56"/>
        <v>1.9600000000000015</v>
      </c>
      <c r="N202">
        <f t="shared" si="70"/>
        <v>3.9742126929132822E-2</v>
      </c>
      <c r="O202">
        <f t="shared" si="59"/>
        <v>5.5984188822365881E-2</v>
      </c>
      <c r="P202">
        <f t="shared" si="65"/>
        <v>-2.2224493218195033E-2</v>
      </c>
      <c r="Q202">
        <f t="shared" si="66"/>
        <v>-0.14276091529660112</v>
      </c>
      <c r="R202">
        <f t="shared" si="60"/>
        <v>-9.9237002481669903E-2</v>
      </c>
      <c r="S202">
        <f t="shared" si="61"/>
        <v>5.8169759920941033E-4</v>
      </c>
      <c r="U202" s="15">
        <f t="shared" si="57"/>
        <v>1.9600000000000015</v>
      </c>
      <c r="V202">
        <f t="shared" si="71"/>
        <v>19.984045614041417</v>
      </c>
      <c r="W202">
        <f t="shared" si="62"/>
        <v>1.5954385958583117E-2</v>
      </c>
      <c r="X202">
        <f t="shared" si="67"/>
        <v>5.7456910551803997</v>
      </c>
      <c r="Y202">
        <f t="shared" si="68"/>
        <v>-4.0760125293815008E-2</v>
      </c>
      <c r="Z202">
        <f t="shared" si="63"/>
        <v>3.9742126929132822E-2</v>
      </c>
      <c r="AA202">
        <f t="shared" si="64"/>
        <v>9.5726315751498703E-2</v>
      </c>
    </row>
    <row r="203" spans="8:27" x14ac:dyDescent="0.25">
      <c r="H203" s="15">
        <f t="shared" si="55"/>
        <v>1.9700000000000015</v>
      </c>
      <c r="I203" s="9">
        <f t="shared" si="58"/>
        <v>49.378223130936966</v>
      </c>
      <c r="J203">
        <f t="shared" si="69"/>
        <v>49.408304488783983</v>
      </c>
      <c r="K203">
        <f t="shared" si="54"/>
        <v>49.970226584718006</v>
      </c>
      <c r="M203" s="15">
        <f t="shared" si="56"/>
        <v>1.9700000000000015</v>
      </c>
      <c r="N203">
        <f t="shared" si="70"/>
        <v>3.8749756904316125E-2</v>
      </c>
      <c r="O203">
        <f t="shared" si="59"/>
        <v>5.4592031231436654E-2</v>
      </c>
      <c r="P203">
        <f t="shared" si="65"/>
        <v>-2.1671612117926019E-2</v>
      </c>
      <c r="Q203">
        <f t="shared" si="66"/>
        <v>-0.13921575909292272</v>
      </c>
      <c r="R203">
        <f t="shared" si="60"/>
        <v>-9.6740274619160863E-2</v>
      </c>
      <c r="S203">
        <f t="shared" si="61"/>
        <v>5.6615571768602047E-4</v>
      </c>
      <c r="U203" s="15">
        <f t="shared" si="57"/>
        <v>1.9700000000000015</v>
      </c>
      <c r="V203">
        <f t="shared" si="71"/>
        <v>19.984443035310708</v>
      </c>
      <c r="W203">
        <f t="shared" si="62"/>
        <v>1.555696468929213E-2</v>
      </c>
      <c r="X203">
        <f t="shared" si="67"/>
        <v>5.7458486119336394</v>
      </c>
      <c r="Y203">
        <f t="shared" si="68"/>
        <v>-3.9742126929098731E-2</v>
      </c>
      <c r="Z203">
        <f t="shared" si="63"/>
        <v>3.8749756904316125E-2</v>
      </c>
      <c r="AA203">
        <f t="shared" si="64"/>
        <v>9.3341788135752779E-2</v>
      </c>
    </row>
    <row r="204" spans="8:27" x14ac:dyDescent="0.25">
      <c r="H204" s="15">
        <f t="shared" si="55"/>
        <v>1.9800000000000015</v>
      </c>
      <c r="I204" s="9">
        <f t="shared" si="58"/>
        <v>49.391917075588644</v>
      </c>
      <c r="J204">
        <f t="shared" si="69"/>
        <v>49.421481568805753</v>
      </c>
      <c r="K204">
        <f t="shared" si="54"/>
        <v>49.970889639732377</v>
      </c>
      <c r="M204" s="15">
        <f t="shared" si="56"/>
        <v>1.9800000000000015</v>
      </c>
      <c r="N204">
        <f t="shared" si="70"/>
        <v>3.7782354158124518E-2</v>
      </c>
      <c r="O204">
        <f t="shared" si="59"/>
        <v>5.3234448563366302E-2</v>
      </c>
      <c r="P204">
        <f t="shared" si="65"/>
        <v>-2.1132479718952005E-2</v>
      </c>
      <c r="Q204">
        <f t="shared" si="66"/>
        <v>-0.1357582668070352</v>
      </c>
      <c r="R204">
        <f t="shared" si="60"/>
        <v>-9.4307825057834929E-2</v>
      </c>
      <c r="S204">
        <f t="shared" si="61"/>
        <v>5.5108413609777224E-4</v>
      </c>
      <c r="U204" s="15">
        <f t="shared" si="57"/>
        <v>1.9800000000000015</v>
      </c>
      <c r="V204">
        <f t="shared" si="71"/>
        <v>19.984830532879752</v>
      </c>
      <c r="W204">
        <f t="shared" si="62"/>
        <v>1.516946712024847E-2</v>
      </c>
      <c r="X204">
        <f t="shared" si="67"/>
        <v>5.7460022440926872</v>
      </c>
      <c r="Y204">
        <f t="shared" si="68"/>
        <v>-3.8749756904365995E-2</v>
      </c>
      <c r="Z204">
        <f t="shared" si="63"/>
        <v>3.7782354158124518E-2</v>
      </c>
      <c r="AA204">
        <f t="shared" si="64"/>
        <v>9.1016802721490819E-2</v>
      </c>
    </row>
    <row r="205" spans="8:27" x14ac:dyDescent="0.25">
      <c r="H205" s="15">
        <f t="shared" si="55"/>
        <v>1.9900000000000015</v>
      </c>
      <c r="I205" s="9">
        <f t="shared" si="58"/>
        <v>49.405309426325445</v>
      </c>
      <c r="J205">
        <f t="shared" si="69"/>
        <v>49.434365194788057</v>
      </c>
      <c r="K205">
        <f t="shared" si="54"/>
        <v>49.971537928488061</v>
      </c>
      <c r="M205" s="15">
        <f t="shared" si="56"/>
        <v>1.9900000000000015</v>
      </c>
      <c r="N205">
        <f t="shared" si="70"/>
        <v>3.6839275907546168E-2</v>
      </c>
      <c r="O205">
        <f t="shared" si="59"/>
        <v>5.1910585564463971E-2</v>
      </c>
      <c r="P205">
        <f t="shared" si="65"/>
        <v>-2.0606754548312855E-2</v>
      </c>
      <c r="Q205">
        <f t="shared" si="66"/>
        <v>-0.13238629989023309</v>
      </c>
      <c r="R205">
        <f t="shared" si="60"/>
        <v>-9.1937885772905834E-2</v>
      </c>
      <c r="S205">
        <f t="shared" si="61"/>
        <v>5.3646461153866731E-4</v>
      </c>
      <c r="U205" s="15">
        <f t="shared" si="57"/>
        <v>1.9900000000000015</v>
      </c>
      <c r="V205">
        <f t="shared" si="71"/>
        <v>19.985208356421332</v>
      </c>
      <c r="W205">
        <f t="shared" si="62"/>
        <v>1.4791643578668356E-2</v>
      </c>
      <c r="X205">
        <f t="shared" si="67"/>
        <v>5.7461520496461818</v>
      </c>
      <c r="Y205">
        <f t="shared" si="68"/>
        <v>-3.7782354158011344E-2</v>
      </c>
      <c r="Z205">
        <f t="shared" si="63"/>
        <v>3.6839275907546168E-2</v>
      </c>
      <c r="AA205">
        <f t="shared" si="64"/>
        <v>8.8749861472010139E-2</v>
      </c>
    </row>
    <row r="206" spans="8:27" x14ac:dyDescent="0.25">
      <c r="H206" s="15">
        <f t="shared" si="55"/>
        <v>2.0000000000000013</v>
      </c>
      <c r="I206" s="9">
        <f t="shared" si="58"/>
        <v>49.418406825418216</v>
      </c>
      <c r="J206">
        <f t="shared" si="69"/>
        <v>49.446961901962766</v>
      </c>
      <c r="K206">
        <f t="shared" si="54"/>
        <v>49.972171779830163</v>
      </c>
      <c r="M206" s="15">
        <f t="shared" si="56"/>
        <v>2.0000000000000013</v>
      </c>
      <c r="N206">
        <f t="shared" si="70"/>
        <v>3.5919897049817108E-2</v>
      </c>
      <c r="O206">
        <f t="shared" si="59"/>
        <v>5.0619607867743242E-2</v>
      </c>
      <c r="P206">
        <f t="shared" si="65"/>
        <v>-2.009410358115182E-2</v>
      </c>
      <c r="Q206">
        <f t="shared" si="66"/>
        <v>-0.12909776967207284</v>
      </c>
      <c r="R206">
        <f t="shared" si="60"/>
        <v>-8.9628745932291767E-2</v>
      </c>
      <c r="S206">
        <f t="shared" si="61"/>
        <v>5.2227986699334567E-4</v>
      </c>
      <c r="U206" s="15">
        <f t="shared" si="57"/>
        <v>2.0000000000000013</v>
      </c>
      <c r="V206">
        <f t="shared" si="71"/>
        <v>19.985576749180407</v>
      </c>
      <c r="W206">
        <f t="shared" si="62"/>
        <v>1.4423250819593392E-2</v>
      </c>
      <c r="X206">
        <f t="shared" si="67"/>
        <v>5.746298124118173</v>
      </c>
      <c r="Y206">
        <f t="shared" si="68"/>
        <v>-3.6839275907496472E-2</v>
      </c>
      <c r="Z206">
        <f t="shared" si="63"/>
        <v>3.5919897049817108E-2</v>
      </c>
      <c r="AA206">
        <f t="shared" si="64"/>
        <v>8.653950491756035E-2</v>
      </c>
    </row>
    <row r="207" spans="8:27" x14ac:dyDescent="0.25">
      <c r="H207" s="15">
        <f t="shared" si="55"/>
        <v>2.0100000000000011</v>
      </c>
      <c r="I207" s="9">
        <f t="shared" si="58"/>
        <v>49.431215768849199</v>
      </c>
      <c r="J207">
        <f t="shared" si="69"/>
        <v>49.459278080021896</v>
      </c>
      <c r="K207">
        <f t="shared" si="54"/>
        <v>49.972791515280392</v>
      </c>
      <c r="M207" s="15">
        <f t="shared" si="56"/>
        <v>2.0100000000000011</v>
      </c>
      <c r="N207">
        <f t="shared" si="70"/>
        <v>3.5023609590494192E-2</v>
      </c>
      <c r="O207">
        <f t="shared" si="59"/>
        <v>4.9360701504087029E-2</v>
      </c>
      <c r="P207">
        <f t="shared" si="65"/>
        <v>-1.9594202034292667E-2</v>
      </c>
      <c r="Q207">
        <f t="shared" si="66"/>
        <v>-0.12589063636562134</v>
      </c>
      <c r="R207">
        <f t="shared" si="60"/>
        <v>-8.7378749435037303E-2</v>
      </c>
      <c r="S207">
        <f t="shared" si="61"/>
        <v>5.0851352694549629E-4</v>
      </c>
      <c r="U207" s="15">
        <f t="shared" si="57"/>
        <v>2.0100000000000011</v>
      </c>
      <c r="V207">
        <f t="shared" si="71"/>
        <v>19.985935948150903</v>
      </c>
      <c r="W207">
        <f t="shared" si="62"/>
        <v>1.406405184909687E-2</v>
      </c>
      <c r="X207">
        <f t="shared" si="67"/>
        <v>5.7464405606315161</v>
      </c>
      <c r="Y207">
        <f t="shared" si="68"/>
        <v>-3.591989704965215E-2</v>
      </c>
      <c r="Z207">
        <f t="shared" si="63"/>
        <v>3.5023609590494192E-2</v>
      </c>
      <c r="AA207">
        <f t="shared" si="64"/>
        <v>8.4384311094581221E-2</v>
      </c>
    </row>
    <row r="208" spans="8:27" x14ac:dyDescent="0.25">
      <c r="H208" s="15">
        <f t="shared" si="55"/>
        <v>2.0200000000000009</v>
      </c>
      <c r="I208" s="9">
        <f t="shared" si="58"/>
        <v>49.443742609533807</v>
      </c>
      <c r="J208">
        <f t="shared" si="69"/>
        <v>49.471319976358807</v>
      </c>
      <c r="K208">
        <f t="shared" si="54"/>
        <v>49.973397449200164</v>
      </c>
      <c r="M208" s="15">
        <f t="shared" si="56"/>
        <v>2.0200000000000009</v>
      </c>
      <c r="N208">
        <f t="shared" si="70"/>
        <v>3.4149822096143818E-2</v>
      </c>
      <c r="O208">
        <f t="shared" si="59"/>
        <v>4.8133072423009342E-2</v>
      </c>
      <c r="P208">
        <f t="shared" si="65"/>
        <v>-1.9106733164657184E-2</v>
      </c>
      <c r="Q208">
        <f t="shared" si="66"/>
        <v>-0.12276290810776871</v>
      </c>
      <c r="R208">
        <f t="shared" si="60"/>
        <v>-8.5186292603410957E-2</v>
      </c>
      <c r="S208">
        <f t="shared" si="61"/>
        <v>4.9515005834493281E-4</v>
      </c>
      <c r="U208" s="15">
        <f t="shared" si="57"/>
        <v>2.0200000000000009</v>
      </c>
      <c r="V208">
        <f t="shared" si="71"/>
        <v>19.986286184246808</v>
      </c>
      <c r="W208">
        <f t="shared" si="62"/>
        <v>1.3713815753192193E-2</v>
      </c>
      <c r="X208">
        <f t="shared" si="67"/>
        <v>5.746579449969528</v>
      </c>
      <c r="Y208">
        <f t="shared" si="68"/>
        <v>-3.5023609590467686E-2</v>
      </c>
      <c r="Z208">
        <f t="shared" si="63"/>
        <v>3.4149822096143818E-2</v>
      </c>
      <c r="AA208">
        <f t="shared" si="64"/>
        <v>8.228289451915316E-2</v>
      </c>
    </row>
    <row r="209" spans="8:27" x14ac:dyDescent="0.25">
      <c r="H209" s="15">
        <f t="shared" si="55"/>
        <v>2.0300000000000007</v>
      </c>
      <c r="I209" s="9">
        <f t="shared" si="58"/>
        <v>49.455993560471576</v>
      </c>
      <c r="J209">
        <f t="shared" si="69"/>
        <v>49.483093699237173</v>
      </c>
      <c r="K209">
        <f t="shared" si="54"/>
        <v>49.973989888950051</v>
      </c>
      <c r="M209" s="15">
        <f t="shared" si="56"/>
        <v>2.0300000000000007</v>
      </c>
      <c r="N209">
        <f t="shared" si="70"/>
        <v>3.3297959170109706E-2</v>
      </c>
      <c r="O209">
        <f t="shared" si="59"/>
        <v>4.6935946023271655E-2</v>
      </c>
      <c r="P209">
        <f t="shared" si="65"/>
        <v>-1.8631388072425779E-2</v>
      </c>
      <c r="Q209">
        <f t="shared" si="66"/>
        <v>-0.11971263997376871</v>
      </c>
      <c r="R209">
        <f t="shared" si="60"/>
        <v>-8.3049821995554413E-2</v>
      </c>
      <c r="S209">
        <f t="shared" si="61"/>
        <v>4.8217471532328166E-4</v>
      </c>
      <c r="U209" s="15">
        <f t="shared" si="57"/>
        <v>2.0300000000000007</v>
      </c>
      <c r="V209">
        <f t="shared" si="71"/>
        <v>19.98662768246777</v>
      </c>
      <c r="W209">
        <f t="shared" si="62"/>
        <v>1.3372317532230227E-2</v>
      </c>
      <c r="X209">
        <f t="shared" si="67"/>
        <v>5.7467148806359551</v>
      </c>
      <c r="Y209">
        <f t="shared" si="68"/>
        <v>-3.4149822096196658E-2</v>
      </c>
      <c r="Z209">
        <f t="shared" si="63"/>
        <v>3.3297959170109706E-2</v>
      </c>
      <c r="AA209">
        <f t="shared" si="64"/>
        <v>8.0233905193381361E-2</v>
      </c>
    </row>
    <row r="210" spans="8:27" x14ac:dyDescent="0.25">
      <c r="H210" s="15">
        <f t="shared" si="55"/>
        <v>2.0400000000000005</v>
      </c>
      <c r="I210" s="9">
        <f t="shared" si="58"/>
        <v>49.467974697827621</v>
      </c>
      <c r="J210">
        <f t="shared" si="69"/>
        <v>49.494605220889433</v>
      </c>
      <c r="K210">
        <f t="shared" si="54"/>
        <v>49.974569135045691</v>
      </c>
      <c r="M210" s="15">
        <f t="shared" si="56"/>
        <v>2.0400000000000005</v>
      </c>
      <c r="N210">
        <f t="shared" si="70"/>
        <v>3.246746095015416E-2</v>
      </c>
      <c r="O210">
        <f t="shared" si="59"/>
        <v>4.5768566693024669E-2</v>
      </c>
      <c r="P210">
        <f t="shared" si="65"/>
        <v>-1.8167865508844298E-2</v>
      </c>
      <c r="Q210">
        <f t="shared" si="66"/>
        <v>-0.11673793302469856</v>
      </c>
      <c r="R210">
        <f t="shared" si="60"/>
        <v>-8.0967832350034866E-2</v>
      </c>
      <c r="S210">
        <f t="shared" si="61"/>
        <v>4.6957348841914631E-4</v>
      </c>
      <c r="U210" s="15">
        <f t="shared" si="57"/>
        <v>2.0400000000000005</v>
      </c>
      <c r="V210">
        <f t="shared" si="71"/>
        <v>19.98696066205947</v>
      </c>
      <c r="W210">
        <f t="shared" si="62"/>
        <v>1.3039337940529805E-2</v>
      </c>
      <c r="X210">
        <f t="shared" si="67"/>
        <v>5.7468469389133192</v>
      </c>
      <c r="Y210">
        <f t="shared" si="68"/>
        <v>-3.3297959170042191E-2</v>
      </c>
      <c r="Z210">
        <f t="shared" si="63"/>
        <v>3.246746095015416E-2</v>
      </c>
      <c r="AA210">
        <f t="shared" si="64"/>
        <v>7.8236027643178829E-2</v>
      </c>
    </row>
    <row r="211" spans="8:27" x14ac:dyDescent="0.25">
      <c r="H211" s="15">
        <f t="shared" si="55"/>
        <v>2.0500000000000003</v>
      </c>
      <c r="I211" s="9">
        <f t="shared" si="58"/>
        <v>49.479691963946287</v>
      </c>
      <c r="J211">
        <f t="shared" si="69"/>
        <v>49.505860380546196</v>
      </c>
      <c r="K211">
        <f t="shared" si="54"/>
        <v>49.97513548131024</v>
      </c>
      <c r="M211" s="15">
        <f t="shared" si="56"/>
        <v>2.0500000000000003</v>
      </c>
      <c r="N211">
        <f t="shared" si="70"/>
        <v>3.1657782626653815E-2</v>
      </c>
      <c r="O211">
        <f t="shared" si="59"/>
        <v>4.4630197359515504E-2</v>
      </c>
      <c r="P211">
        <f t="shared" si="65"/>
        <v>-1.7715871688581599E-2</v>
      </c>
      <c r="Q211">
        <f t="shared" si="66"/>
        <v>-0.11383693335091649</v>
      </c>
      <c r="R211">
        <f t="shared" si="60"/>
        <v>-7.8938864642269013E-2</v>
      </c>
      <c r="S211">
        <f t="shared" si="61"/>
        <v>4.5733305738615559E-4</v>
      </c>
      <c r="U211" s="15">
        <f t="shared" si="57"/>
        <v>2.0500000000000003</v>
      </c>
      <c r="V211">
        <f t="shared" si="71"/>
        <v>19.987285336668972</v>
      </c>
      <c r="W211">
        <f t="shared" si="62"/>
        <v>1.271466333102822E-2</v>
      </c>
      <c r="X211">
        <f t="shared" si="67"/>
        <v>5.7469757089196767</v>
      </c>
      <c r="Y211">
        <f t="shared" si="68"/>
        <v>-3.2467460950158511E-2</v>
      </c>
      <c r="Z211">
        <f t="shared" si="63"/>
        <v>3.1657782626653815E-2</v>
      </c>
      <c r="AA211">
        <f t="shared" si="64"/>
        <v>7.6287979986169319E-2</v>
      </c>
    </row>
    <row r="212" spans="8:27" x14ac:dyDescent="0.25">
      <c r="H212" s="15">
        <f t="shared" si="55"/>
        <v>2.06</v>
      </c>
      <c r="I212" s="9">
        <f t="shared" si="58"/>
        <v>49.491151170298366</v>
      </c>
      <c r="J212">
        <f t="shared" si="69"/>
        <v>49.516864887398192</v>
      </c>
      <c r="K212">
        <f t="shared" si="54"/>
        <v>49.975689215023387</v>
      </c>
      <c r="M212" s="15">
        <f t="shared" si="56"/>
        <v>2.06</v>
      </c>
      <c r="N212">
        <f t="shared" si="70"/>
        <v>3.0868393980231123E-2</v>
      </c>
      <c r="O212">
        <f t="shared" si="59"/>
        <v>4.3520119048349279E-2</v>
      </c>
      <c r="P212">
        <f t="shared" si="65"/>
        <v>-1.7275120106542276E-2</v>
      </c>
      <c r="Q212">
        <f t="shared" si="66"/>
        <v>-0.11100783111662252</v>
      </c>
      <c r="R212">
        <f t="shared" si="60"/>
        <v>-7.6961504242859011E-2</v>
      </c>
      <c r="S212">
        <f t="shared" si="61"/>
        <v>4.4544074717905308E-4</v>
      </c>
      <c r="U212" s="15">
        <f t="shared" si="57"/>
        <v>2.06</v>
      </c>
      <c r="V212">
        <f t="shared" si="71"/>
        <v>19.987601914495237</v>
      </c>
      <c r="W212">
        <f t="shared" si="62"/>
        <v>1.2398085504763401E-2</v>
      </c>
      <c r="X212">
        <f t="shared" si="67"/>
        <v>5.7471012726638557</v>
      </c>
      <c r="Y212">
        <f t="shared" si="68"/>
        <v>-3.165778262648189E-2</v>
      </c>
      <c r="Z212">
        <f t="shared" si="63"/>
        <v>3.0868393980231123E-2</v>
      </c>
      <c r="AA212">
        <f t="shared" si="64"/>
        <v>7.4388513028580405E-2</v>
      </c>
    </row>
    <row r="213" spans="8:27" x14ac:dyDescent="0.25">
      <c r="H213" s="15">
        <f t="shared" si="55"/>
        <v>2.0699999999999998</v>
      </c>
      <c r="I213" s="9">
        <f t="shared" si="58"/>
        <v>49.502358000363479</v>
      </c>
      <c r="J213">
        <f t="shared" si="69"/>
        <v>49.527624323492269</v>
      </c>
      <c r="K213">
        <f t="shared" ref="K213:K276" si="72">K212+$E$8*DEGREES($E$6*$C$5*$C$6^2*$E$5/(4*$C$7)*$C$8*RADIANS(K212) +$E$6*$C$5*$C$6*$E$5^2/(2*$C$7)*$C$9*$C$18)</f>
        <v>49.976230617067102</v>
      </c>
      <c r="M213" s="15">
        <f t="shared" si="56"/>
        <v>2.0699999999999998</v>
      </c>
      <c r="N213">
        <f t="shared" si="70"/>
        <v>3.0098778937802533E-2</v>
      </c>
      <c r="O213">
        <f t="shared" si="59"/>
        <v>4.2437630451959932E-2</v>
      </c>
      <c r="P213">
        <f t="shared" si="65"/>
        <v>-1.6845331359040729E-2</v>
      </c>
      <c r="Q213">
        <f t="shared" si="66"/>
        <v>-0.10824885963893471</v>
      </c>
      <c r="R213">
        <f t="shared" si="60"/>
        <v>-7.5034379185815417E-2</v>
      </c>
      <c r="S213">
        <f t="shared" si="61"/>
        <v>4.3388448767313348E-4</v>
      </c>
      <c r="U213" s="15">
        <f t="shared" si="57"/>
        <v>2.0699999999999998</v>
      </c>
      <c r="V213">
        <f t="shared" si="71"/>
        <v>19.98791059843504</v>
      </c>
      <c r="W213">
        <f t="shared" si="62"/>
        <v>1.2089401564960411E-2</v>
      </c>
      <c r="X213">
        <f t="shared" si="67"/>
        <v>5.7472237100992043</v>
      </c>
      <c r="Y213">
        <f t="shared" si="68"/>
        <v>-3.0868393980298947E-2</v>
      </c>
      <c r="Z213">
        <f t="shared" si="63"/>
        <v>3.0098778937802533E-2</v>
      </c>
      <c r="AA213">
        <f t="shared" si="64"/>
        <v>7.2536409389762468E-2</v>
      </c>
    </row>
    <row r="214" spans="8:27" x14ac:dyDescent="0.25">
      <c r="H214" s="15">
        <f t="shared" si="55"/>
        <v>2.0799999999999996</v>
      </c>
      <c r="I214" s="9">
        <f t="shared" si="58"/>
        <v>49.513318012448906</v>
      </c>
      <c r="J214">
        <f t="shared" si="69"/>
        <v>49.5381441465629</v>
      </c>
      <c r="K214">
        <f t="shared" si="72"/>
        <v>49.976759962068101</v>
      </c>
      <c r="M214" s="15">
        <f t="shared" si="56"/>
        <v>2.0799999999999996</v>
      </c>
      <c r="N214">
        <f t="shared" si="70"/>
        <v>2.9348435145944381E-2</v>
      </c>
      <c r="O214">
        <f t="shared" si="59"/>
        <v>4.1382047507557855E-2</v>
      </c>
      <c r="P214">
        <f t="shared" si="65"/>
        <v>-1.642623296924314E-2</v>
      </c>
      <c r="Q214">
        <f t="shared" si="66"/>
        <v>-0.10555829444020767</v>
      </c>
      <c r="R214">
        <f t="shared" si="60"/>
        <v>-7.3156158514426223E-2</v>
      </c>
      <c r="S214">
        <f t="shared" si="61"/>
        <v>4.2265277550206787E-4</v>
      </c>
      <c r="U214" s="15">
        <f t="shared" si="57"/>
        <v>2.0799999999999996</v>
      </c>
      <c r="V214">
        <f t="shared" si="71"/>
        <v>19.988211586224416</v>
      </c>
      <c r="W214">
        <f t="shared" si="62"/>
        <v>1.1788413775583706E-2</v>
      </c>
      <c r="X214">
        <f t="shared" si="67"/>
        <v>5.7473430991759074</v>
      </c>
      <c r="Y214">
        <f t="shared" si="68"/>
        <v>-3.0098778937670545E-2</v>
      </c>
      <c r="Z214">
        <f t="shared" si="63"/>
        <v>2.9348435145944381E-2</v>
      </c>
      <c r="AA214">
        <f t="shared" si="64"/>
        <v>7.0730482653502236E-2</v>
      </c>
    </row>
    <row r="215" spans="8:27" x14ac:dyDescent="0.25">
      <c r="H215" s="15">
        <f t="shared" si="55"/>
        <v>2.0899999999999994</v>
      </c>
      <c r="I215" s="9">
        <f t="shared" si="58"/>
        <v>49.524036642446411</v>
      </c>
      <c r="J215">
        <f t="shared" si="69"/>
        <v>49.548429692800617</v>
      </c>
      <c r="K215">
        <f t="shared" si="72"/>
        <v>49.97727751853715</v>
      </c>
      <c r="M215" s="15">
        <f t="shared" si="56"/>
        <v>2.0899999999999994</v>
      </c>
      <c r="N215">
        <f t="shared" si="70"/>
        <v>2.8616873560800119E-2</v>
      </c>
      <c r="O215">
        <f t="shared" si="59"/>
        <v>4.0352702983945221E-2</v>
      </c>
      <c r="P215">
        <f t="shared" si="65"/>
        <v>-1.6017559216785625E-2</v>
      </c>
      <c r="Q215">
        <f t="shared" si="66"/>
        <v>-0.10293445236126339</v>
      </c>
      <c r="R215">
        <f t="shared" si="60"/>
        <v>-7.1325550733228854E-2</v>
      </c>
      <c r="S215">
        <f t="shared" si="61"/>
        <v>4.117346396503227E-4</v>
      </c>
      <c r="U215" s="15">
        <f t="shared" si="57"/>
        <v>2.0899999999999994</v>
      </c>
      <c r="V215">
        <f t="shared" si="71"/>
        <v>19.988505070575876</v>
      </c>
      <c r="W215">
        <f t="shared" si="62"/>
        <v>1.1494929424124223E-2</v>
      </c>
      <c r="X215">
        <f t="shared" si="67"/>
        <v>5.7474595158919062</v>
      </c>
      <c r="Y215">
        <f t="shared" si="68"/>
        <v>-2.9348435145948315E-2</v>
      </c>
      <c r="Z215">
        <f t="shared" si="63"/>
        <v>2.8616873560800119E-2</v>
      </c>
      <c r="AA215">
        <f t="shared" si="64"/>
        <v>6.8969576544745337E-2</v>
      </c>
    </row>
    <row r="216" spans="8:27" x14ac:dyDescent="0.25">
      <c r="H216" s="15">
        <f t="shared" si="55"/>
        <v>2.0999999999999992</v>
      </c>
      <c r="I216" s="9">
        <f t="shared" si="58"/>
        <v>49.534519206528266</v>
      </c>
      <c r="J216">
        <f t="shared" si="69"/>
        <v>49.558486179558805</v>
      </c>
      <c r="K216">
        <f t="shared" si="72"/>
        <v>49.977783549005274</v>
      </c>
      <c r="M216" s="15">
        <f t="shared" si="56"/>
        <v>2.0999999999999992</v>
      </c>
      <c r="N216">
        <f t="shared" si="70"/>
        <v>2.7903618053467829E-2</v>
      </c>
      <c r="O216">
        <f t="shared" si="59"/>
        <v>3.9348946077620545E-2</v>
      </c>
      <c r="P216">
        <f t="shared" si="65"/>
        <v>-1.5619050971477796E-2</v>
      </c>
      <c r="Q216">
        <f t="shared" si="66"/>
        <v>-0.10037569063246765</v>
      </c>
      <c r="R216">
        <f t="shared" si="60"/>
        <v>-6.9541302320781248E-2</v>
      </c>
      <c r="S216">
        <f t="shared" si="61"/>
        <v>4.0111960847256933E-4</v>
      </c>
      <c r="U216" s="15">
        <f t="shared" si="57"/>
        <v>2.0999999999999992</v>
      </c>
      <c r="V216">
        <f t="shared" si="71"/>
        <v>19.988791239311485</v>
      </c>
      <c r="W216">
        <f t="shared" si="62"/>
        <v>1.120876068851473E-2</v>
      </c>
      <c r="X216">
        <f t="shared" si="67"/>
        <v>5.7475730343424694</v>
      </c>
      <c r="Y216">
        <f t="shared" si="68"/>
        <v>-2.861687356094933E-2</v>
      </c>
      <c r="Z216">
        <f t="shared" si="63"/>
        <v>2.7903618053467829E-2</v>
      </c>
      <c r="AA216">
        <f t="shared" si="64"/>
        <v>6.7252564131088377E-2</v>
      </c>
    </row>
    <row r="217" spans="8:27" x14ac:dyDescent="0.25">
      <c r="H217" s="15">
        <f t="shared" si="55"/>
        <v>2.109999999999999</v>
      </c>
      <c r="I217" s="9">
        <f t="shared" si="58"/>
        <v>49.544770903783949</v>
      </c>
      <c r="J217">
        <f t="shared" si="69"/>
        <v>49.568318708000191</v>
      </c>
      <c r="K217">
        <f t="shared" si="72"/>
        <v>49.978278310156924</v>
      </c>
      <c r="M217" s="15">
        <f t="shared" si="56"/>
        <v>2.109999999999999</v>
      </c>
      <c r="N217">
        <f t="shared" si="70"/>
        <v>2.7208205030260016E-2</v>
      </c>
      <c r="O217">
        <f t="shared" si="59"/>
        <v>3.8370142017629436E-2</v>
      </c>
      <c r="P217">
        <f t="shared" si="65"/>
        <v>-1.5230455531001547E-2</v>
      </c>
      <c r="Q217">
        <f t="shared" si="66"/>
        <v>-9.7880405999110909E-2</v>
      </c>
      <c r="R217">
        <f t="shared" si="60"/>
        <v>-6.7802196331393685E-2</v>
      </c>
      <c r="S217">
        <f t="shared" si="61"/>
        <v>3.9079767973997093E-4</v>
      </c>
      <c r="U217" s="15">
        <f t="shared" si="57"/>
        <v>2.109999999999999</v>
      </c>
      <c r="V217">
        <f t="shared" si="71"/>
        <v>19.989070275492018</v>
      </c>
      <c r="W217">
        <f t="shared" si="62"/>
        <v>1.0929724507981575E-2</v>
      </c>
      <c r="X217">
        <f t="shared" si="67"/>
        <v>5.747683726768452</v>
      </c>
      <c r="Y217">
        <f t="shared" si="68"/>
        <v>-2.7903618053315427E-2</v>
      </c>
      <c r="Z217">
        <f t="shared" si="63"/>
        <v>2.7208205030260016E-2</v>
      </c>
      <c r="AA217">
        <f t="shared" si="64"/>
        <v>6.5578347047889451E-2</v>
      </c>
    </row>
    <row r="218" spans="8:27" x14ac:dyDescent="0.25">
      <c r="H218" s="15">
        <f t="shared" si="55"/>
        <v>2.1199999999999988</v>
      </c>
      <c r="I218" s="9">
        <f t="shared" si="58"/>
        <v>49.554796818798785</v>
      </c>
      <c r="J218">
        <f t="shared" si="69"/>
        <v>49.577932265684439</v>
      </c>
      <c r="K218">
        <f t="shared" si="72"/>
        <v>49.978762052960178</v>
      </c>
      <c r="M218" s="15">
        <f t="shared" si="56"/>
        <v>2.1199999999999988</v>
      </c>
      <c r="N218">
        <f t="shared" si="70"/>
        <v>2.6530183066946079E-2</v>
      </c>
      <c r="O218">
        <f t="shared" si="59"/>
        <v>3.741567167913442E-2</v>
      </c>
      <c r="P218">
        <f t="shared" si="65"/>
        <v>-1.4851526462517728E-2</v>
      </c>
      <c r="Q218">
        <f t="shared" si="66"/>
        <v>-9.5447033849501567E-2</v>
      </c>
      <c r="R218">
        <f t="shared" si="60"/>
        <v>-6.6107051067263806E-2</v>
      </c>
      <c r="S218">
        <f t="shared" si="61"/>
        <v>3.8075929281481541E-4</v>
      </c>
      <c r="U218" s="15">
        <f t="shared" si="57"/>
        <v>2.1199999999999988</v>
      </c>
      <c r="V218">
        <f t="shared" si="71"/>
        <v>19.98934235754232</v>
      </c>
      <c r="W218">
        <f t="shared" si="62"/>
        <v>1.0657642457680083E-2</v>
      </c>
      <c r="X218">
        <f t="shared" si="67"/>
        <v>5.7477916636032802</v>
      </c>
      <c r="Y218">
        <f t="shared" si="68"/>
        <v>-2.7208205030149202E-2</v>
      </c>
      <c r="Z218">
        <f t="shared" si="63"/>
        <v>2.6530183066946079E-2</v>
      </c>
      <c r="AA218">
        <f t="shared" si="64"/>
        <v>6.3945854746080499E-2</v>
      </c>
    </row>
    <row r="219" spans="8:27" x14ac:dyDescent="0.25">
      <c r="H219" s="15">
        <f t="shared" si="55"/>
        <v>2.1299999999999986</v>
      </c>
      <c r="I219" s="9">
        <f t="shared" si="58"/>
        <v>49.56460192417574</v>
      </c>
      <c r="J219">
        <f t="shared" si="69"/>
        <v>49.587331729098068</v>
      </c>
      <c r="K219">
        <f t="shared" si="72"/>
        <v>49.97923502279405</v>
      </c>
      <c r="M219" s="15">
        <f t="shared" si="56"/>
        <v>2.1299999999999986</v>
      </c>
      <c r="N219">
        <f t="shared" si="70"/>
        <v>2.586911255627344E-2</v>
      </c>
      <c r="O219">
        <f t="shared" si="59"/>
        <v>3.6484931205789883E-2</v>
      </c>
      <c r="P219">
        <f t="shared" si="65"/>
        <v>-1.4482023448093106E-2</v>
      </c>
      <c r="Q219">
        <f t="shared" si="66"/>
        <v>-9.3074047334453652E-2</v>
      </c>
      <c r="R219">
        <f t="shared" si="60"/>
        <v>-6.4454718806105218E-2</v>
      </c>
      <c r="S219">
        <f t="shared" si="61"/>
        <v>3.7099530223030225E-4</v>
      </c>
      <c r="U219" s="15">
        <f t="shared" si="57"/>
        <v>2.1299999999999986</v>
      </c>
      <c r="V219">
        <f t="shared" si="71"/>
        <v>19.989607659372989</v>
      </c>
      <c r="W219">
        <f t="shared" si="62"/>
        <v>1.0392340627010554E-2</v>
      </c>
      <c r="X219">
        <f t="shared" si="67"/>
        <v>5.7478969135187032</v>
      </c>
      <c r="Y219">
        <f t="shared" si="68"/>
        <v>-2.6530183066952873E-2</v>
      </c>
      <c r="Z219">
        <f t="shared" si="63"/>
        <v>2.586911255627344E-2</v>
      </c>
      <c r="AA219">
        <f t="shared" si="64"/>
        <v>6.2354043762063327E-2</v>
      </c>
    </row>
    <row r="220" spans="8:27" x14ac:dyDescent="0.25">
      <c r="H220" s="15">
        <f t="shared" si="55"/>
        <v>2.1399999999999983</v>
      </c>
      <c r="I220" s="9">
        <f t="shared" si="58"/>
        <v>49.574191083001757</v>
      </c>
      <c r="J220">
        <f t="shared" si="69"/>
        <v>49.596521866128086</v>
      </c>
      <c r="K220">
        <f t="shared" si="72"/>
        <v>49.979697459572947</v>
      </c>
      <c r="M220" s="15">
        <f t="shared" si="56"/>
        <v>2.1399999999999983</v>
      </c>
      <c r="N220">
        <f t="shared" si="70"/>
        <v>2.5224565368212389E-2</v>
      </c>
      <c r="O220">
        <f t="shared" si="59"/>
        <v>3.5577331640475045E-2</v>
      </c>
      <c r="P220">
        <f t="shared" si="65"/>
        <v>-1.4121712133861781E-2</v>
      </c>
      <c r="Q220">
        <f t="shared" si="66"/>
        <v>-9.075995653148386E-2</v>
      </c>
      <c r="R220">
        <f t="shared" si="60"/>
        <v>-6.284408460144858E-2</v>
      </c>
      <c r="S220">
        <f t="shared" si="61"/>
        <v>3.6149695367364981E-4</v>
      </c>
      <c r="U220" s="15">
        <f t="shared" si="57"/>
        <v>2.1399999999999983</v>
      </c>
      <c r="V220">
        <f t="shared" si="71"/>
        <v>19.989866350498552</v>
      </c>
      <c r="W220">
        <f t="shared" si="62"/>
        <v>1.0133649501447906E-2</v>
      </c>
      <c r="X220">
        <f t="shared" si="67"/>
        <v>5.7479995434693452</v>
      </c>
      <c r="Y220">
        <f t="shared" si="68"/>
        <v>-2.5869112556264895E-2</v>
      </c>
      <c r="Z220">
        <f t="shared" si="63"/>
        <v>2.5224565368212389E-2</v>
      </c>
      <c r="AA220">
        <f t="shared" si="64"/>
        <v>6.0801897008687433E-2</v>
      </c>
    </row>
    <row r="221" spans="8:27" x14ac:dyDescent="0.25">
      <c r="H221" s="15">
        <f t="shared" si="55"/>
        <v>2.1499999999999981</v>
      </c>
      <c r="I221" s="9">
        <f t="shared" si="58"/>
        <v>49.583569051259651</v>
      </c>
      <c r="J221">
        <f t="shared" si="69"/>
        <v>49.605507338480479</v>
      </c>
      <c r="K221">
        <f t="shared" si="72"/>
        <v>49.980149597868376</v>
      </c>
      <c r="M221" s="15">
        <f t="shared" si="56"/>
        <v>2.1499999999999981</v>
      </c>
      <c r="N221">
        <f t="shared" si="70"/>
        <v>2.4596124522197903E-2</v>
      </c>
      <c r="O221">
        <f t="shared" si="59"/>
        <v>3.4692298564386978E-2</v>
      </c>
      <c r="P221">
        <f t="shared" si="65"/>
        <v>-1.377036398283747E-2</v>
      </c>
      <c r="Q221">
        <f t="shared" si="66"/>
        <v>-8.8503307608806675E-2</v>
      </c>
      <c r="R221">
        <f t="shared" si="60"/>
        <v>-6.1274065137926784E-2</v>
      </c>
      <c r="S221">
        <f t="shared" si="61"/>
        <v>3.5225586150145621E-4</v>
      </c>
      <c r="U221" s="15">
        <f t="shared" si="57"/>
        <v>2.1499999999999981</v>
      </c>
      <c r="V221">
        <f t="shared" si="71"/>
        <v>19.990118596152236</v>
      </c>
      <c r="W221">
        <f t="shared" si="62"/>
        <v>9.8814038477641475E-3</v>
      </c>
      <c r="X221">
        <f t="shared" si="67"/>
        <v>5.7480996187360915</v>
      </c>
      <c r="Y221">
        <f t="shared" si="68"/>
        <v>-2.5224565368375806E-2</v>
      </c>
      <c r="Z221">
        <f t="shared" si="63"/>
        <v>2.4596124522197903E-2</v>
      </c>
      <c r="AA221">
        <f t="shared" si="64"/>
        <v>5.9288423086584885E-2</v>
      </c>
    </row>
    <row r="222" spans="8:27" x14ac:dyDescent="0.25">
      <c r="H222" s="15">
        <f>H221+$E$8</f>
        <v>2.1599999999999979</v>
      </c>
      <c r="I222" s="9">
        <f t="shared" si="58"/>
        <v>49.592740480187025</v>
      </c>
      <c r="J222">
        <f t="shared" si="69"/>
        <v>49.614292704044871</v>
      </c>
      <c r="K222">
        <f t="shared" si="72"/>
        <v>49.980591667027923</v>
      </c>
      <c r="M222" s="15">
        <f>M221+$E$8</f>
        <v>2.1599999999999979</v>
      </c>
      <c r="N222">
        <f t="shared" si="70"/>
        <v>2.3983383870818636E-2</v>
      </c>
      <c r="O222">
        <f t="shared" si="59"/>
        <v>3.3829271744425432E-2</v>
      </c>
      <c r="P222">
        <f t="shared" si="65"/>
        <v>-1.3427756131293407E-2</v>
      </c>
      <c r="Q222">
        <f t="shared" si="66"/>
        <v>-8.6302681996154595E-2</v>
      </c>
      <c r="R222">
        <f t="shared" si="60"/>
        <v>-5.9743607636453491E-2</v>
      </c>
      <c r="S222">
        <f t="shared" si="61"/>
        <v>3.4326398757772436E-4</v>
      </c>
      <c r="U222" s="15">
        <f>U221+$E$8</f>
        <v>2.1599999999999979</v>
      </c>
      <c r="V222">
        <f t="shared" si="71"/>
        <v>19.990364557397459</v>
      </c>
      <c r="W222">
        <f t="shared" si="62"/>
        <v>9.6354426025406781E-3</v>
      </c>
      <c r="X222">
        <f t="shared" si="67"/>
        <v>5.7481972029683428</v>
      </c>
      <c r="Y222">
        <f t="shared" si="68"/>
        <v>-2.459612452234694E-2</v>
      </c>
      <c r="Z222">
        <f t="shared" si="63"/>
        <v>2.3983383870818636E-2</v>
      </c>
      <c r="AA222">
        <f t="shared" si="64"/>
        <v>5.7812655615244068E-2</v>
      </c>
    </row>
    <row r="223" spans="8:27" x14ac:dyDescent="0.25">
      <c r="H223" s="15">
        <f t="shared" si="55"/>
        <v>2.1699999999999977</v>
      </c>
      <c r="I223" s="9">
        <f t="shared" si="58"/>
        <v>49.60170991858314</v>
      </c>
      <c r="J223">
        <f t="shared" si="69"/>
        <v>49.62288241920654</v>
      </c>
      <c r="K223">
        <f t="shared" si="72"/>
        <v>49.981023891291613</v>
      </c>
      <c r="M223" s="15">
        <f t="shared" si="56"/>
        <v>2.1699999999999977</v>
      </c>
      <c r="N223">
        <f t="shared" si="70"/>
        <v>2.33859477944541E-2</v>
      </c>
      <c r="O223">
        <f t="shared" si="59"/>
        <v>3.2987704788536881E-2</v>
      </c>
      <c r="P223">
        <f t="shared" si="65"/>
        <v>-1.3093671248628596E-2</v>
      </c>
      <c r="Q223">
        <f t="shared" si="66"/>
        <v>-8.4156695588855079E-2</v>
      </c>
      <c r="R223">
        <f t="shared" si="60"/>
        <v>-5.8251688817836329E-2</v>
      </c>
      <c r="S223">
        <f t="shared" si="61"/>
        <v>3.3451362195777157E-4</v>
      </c>
      <c r="U223" s="15">
        <f t="shared" si="57"/>
        <v>2.1699999999999977</v>
      </c>
      <c r="V223">
        <f t="shared" si="71"/>
        <v>19.990604391236168</v>
      </c>
      <c r="W223">
        <f t="shared" si="62"/>
        <v>9.3956087638318309E-3</v>
      </c>
      <c r="X223">
        <f t="shared" si="67"/>
        <v>5.748292358225175</v>
      </c>
      <c r="Y223">
        <f t="shared" si="68"/>
        <v>-2.3983383870884722E-2</v>
      </c>
      <c r="Z223">
        <f t="shared" si="63"/>
        <v>2.33859477944541E-2</v>
      </c>
      <c r="AA223">
        <f t="shared" si="64"/>
        <v>5.6373652582990985E-2</v>
      </c>
    </row>
    <row r="224" spans="8:27" x14ac:dyDescent="0.25">
      <c r="H224" s="15">
        <f t="shared" si="55"/>
        <v>2.1799999999999975</v>
      </c>
      <c r="I224" s="9">
        <f t="shared" si="58"/>
        <v>49.610481815064993</v>
      </c>
      <c r="J224">
        <f t="shared" si="69"/>
        <v>49.631280841106886</v>
      </c>
      <c r="K224">
        <f t="shared" si="72"/>
        <v>49.981446489905615</v>
      </c>
      <c r="M224" s="15">
        <f t="shared" si="56"/>
        <v>2.1799999999999975</v>
      </c>
      <c r="N224">
        <f t="shared" si="70"/>
        <v>2.2803430906275738E-2</v>
      </c>
      <c r="O224">
        <f t="shared" si="59"/>
        <v>3.2167064809048129E-2</v>
      </c>
      <c r="P224">
        <f t="shared" si="65"/>
        <v>-1.2767897400640672E-2</v>
      </c>
      <c r="Q224">
        <f t="shared" si="66"/>
        <v>-8.20639979488752E-2</v>
      </c>
      <c r="R224">
        <f t="shared" si="60"/>
        <v>-5.6797313908355684E-2</v>
      </c>
      <c r="S224">
        <f t="shared" si="61"/>
        <v>3.2599736459584805E-4</v>
      </c>
      <c r="U224" s="15">
        <f t="shared" si="57"/>
        <v>2.1799999999999975</v>
      </c>
      <c r="V224">
        <f t="shared" si="71"/>
        <v>19.990838250714113</v>
      </c>
      <c r="W224">
        <f t="shared" si="62"/>
        <v>9.1617492858873106E-3</v>
      </c>
      <c r="X224">
        <f t="shared" si="67"/>
        <v>5.7483851450154235</v>
      </c>
      <c r="Y224">
        <f t="shared" si="68"/>
        <v>-2.3385947794452022E-2</v>
      </c>
      <c r="Z224">
        <f t="shared" si="63"/>
        <v>2.2803430906275738E-2</v>
      </c>
      <c r="AA224">
        <f t="shared" si="64"/>
        <v>5.4970495715323864E-2</v>
      </c>
    </row>
    <row r="225" spans="8:27" x14ac:dyDescent="0.25">
      <c r="H225" s="15">
        <f t="shared" si="55"/>
        <v>2.1899999999999973</v>
      </c>
      <c r="I225" s="9">
        <f t="shared" si="58"/>
        <v>49.619060520273763</v>
      </c>
      <c r="J225">
        <f t="shared" si="69"/>
        <v>49.639492229853623</v>
      </c>
      <c r="K225">
        <f t="shared" si="72"/>
        <v>49.981859677233494</v>
      </c>
      <c r="M225" s="15">
        <f t="shared" si="56"/>
        <v>2.1899999999999973</v>
      </c>
      <c r="N225">
        <f t="shared" si="70"/>
        <v>2.2235457767192181E-2</v>
      </c>
      <c r="O225">
        <f t="shared" si="59"/>
        <v>3.1366832093748104E-2</v>
      </c>
      <c r="P225">
        <f t="shared" si="65"/>
        <v>-1.2450227916126691E-2</v>
      </c>
      <c r="Q225">
        <f t="shared" si="66"/>
        <v>-8.0023271530002549E-2</v>
      </c>
      <c r="R225">
        <f t="shared" si="60"/>
        <v>-5.5379515693030963E-2</v>
      </c>
      <c r="S225">
        <f t="shared" si="61"/>
        <v>3.1770810843727293E-4</v>
      </c>
      <c r="U225" s="15">
        <f t="shared" si="57"/>
        <v>2.1899999999999973</v>
      </c>
      <c r="V225">
        <f t="shared" si="71"/>
        <v>19.991066285023177</v>
      </c>
      <c r="W225">
        <f t="shared" si="62"/>
        <v>8.9337149768233814E-3</v>
      </c>
      <c r="X225">
        <f t="shared" si="67"/>
        <v>5.7484756223367368</v>
      </c>
      <c r="Y225">
        <f t="shared" si="68"/>
        <v>-2.2803430906392919E-2</v>
      </c>
      <c r="Z225">
        <f t="shared" si="63"/>
        <v>2.2235457767192181E-2</v>
      </c>
      <c r="AA225">
        <f t="shared" si="64"/>
        <v>5.3602289860940289E-2</v>
      </c>
    </row>
    <row r="226" spans="8:27" x14ac:dyDescent="0.25">
      <c r="H226" s="15">
        <f t="shared" si="55"/>
        <v>2.1999999999999971</v>
      </c>
      <c r="I226" s="9">
        <f t="shared" si="58"/>
        <v>49.627450289032566</v>
      </c>
      <c r="J226">
        <f t="shared" si="69"/>
        <v>49.647520750681721</v>
      </c>
      <c r="K226">
        <f t="shared" si="72"/>
        <v>49.982263662864931</v>
      </c>
      <c r="M226" s="15">
        <f t="shared" si="56"/>
        <v>2.1999999999999971</v>
      </c>
      <c r="N226">
        <f t="shared" si="70"/>
        <v>2.1681662610261873E-2</v>
      </c>
      <c r="O226">
        <f t="shared" si="59"/>
        <v>3.0586499784640744E-2</v>
      </c>
      <c r="P226">
        <f t="shared" si="65"/>
        <v>-1.2140461256734746E-2</v>
      </c>
      <c r="Q226">
        <f t="shared" si="66"/>
        <v>-7.803323091073594E-2</v>
      </c>
      <c r="R226">
        <f t="shared" si="60"/>
        <v>-5.3997353608216177E-2</v>
      </c>
      <c r="S226">
        <f t="shared" si="61"/>
        <v>3.0963902349960548E-4</v>
      </c>
      <c r="U226" s="15">
        <f t="shared" si="57"/>
        <v>2.1999999999999971</v>
      </c>
      <c r="V226">
        <f t="shared" si="71"/>
        <v>19.99128863960085</v>
      </c>
      <c r="W226">
        <f t="shared" si="62"/>
        <v>8.7113603991504363E-3</v>
      </c>
      <c r="X226">
        <f t="shared" si="67"/>
        <v>5.7485638477136165</v>
      </c>
      <c r="Y226">
        <f t="shared" si="68"/>
        <v>-2.223545776729452E-2</v>
      </c>
      <c r="Z226">
        <f t="shared" si="63"/>
        <v>2.1681662610261873E-2</v>
      </c>
      <c r="AA226">
        <f t="shared" si="64"/>
        <v>5.2268162394902618E-2</v>
      </c>
    </row>
    <row r="227" spans="8:27" x14ac:dyDescent="0.25">
      <c r="H227" s="15">
        <f t="shared" si="55"/>
        <v>2.2099999999999969</v>
      </c>
      <c r="I227" s="9">
        <f t="shared" si="58"/>
        <v>49.635655282456774</v>
      </c>
      <c r="J227">
        <f t="shared" si="69"/>
        <v>49.65537047606621</v>
      </c>
      <c r="K227">
        <f t="shared" si="72"/>
        <v>49.982658651722026</v>
      </c>
      <c r="M227" s="15">
        <f t="shared" si="56"/>
        <v>2.2099999999999969</v>
      </c>
      <c r="N227">
        <f t="shared" si="70"/>
        <v>2.1141689074179713E-2</v>
      </c>
      <c r="O227">
        <f t="shared" si="59"/>
        <v>2.9825573564101173E-2</v>
      </c>
      <c r="P227">
        <f t="shared" si="65"/>
        <v>-1.1838400889991036E-2</v>
      </c>
      <c r="Q227">
        <f t="shared" si="66"/>
        <v>-7.6092622053957129E-2</v>
      </c>
      <c r="R227">
        <f t="shared" si="60"/>
        <v>-5.2649912879098051E-2</v>
      </c>
      <c r="S227">
        <f t="shared" si="61"/>
        <v>3.0178354229240881E-4</v>
      </c>
      <c r="U227" s="15">
        <f t="shared" si="57"/>
        <v>2.2099999999999969</v>
      </c>
      <c r="V227">
        <f t="shared" si="71"/>
        <v>19.991505456226953</v>
      </c>
      <c r="W227">
        <f t="shared" si="62"/>
        <v>8.4945437730468143E-3</v>
      </c>
      <c r="X227">
        <f t="shared" si="67"/>
        <v>5.7486498772344774</v>
      </c>
      <c r="Y227">
        <f t="shared" si="68"/>
        <v>-2.1681662610362196E-2</v>
      </c>
      <c r="Z227">
        <f t="shared" si="63"/>
        <v>2.1141689074179713E-2</v>
      </c>
      <c r="AA227">
        <f t="shared" si="64"/>
        <v>5.0967262638280886E-2</v>
      </c>
    </row>
    <row r="228" spans="8:27" x14ac:dyDescent="0.25">
      <c r="H228" s="15">
        <f t="shared" si="55"/>
        <v>2.2199999999999966</v>
      </c>
      <c r="I228" s="9">
        <f t="shared" si="58"/>
        <v>49.643679570017817</v>
      </c>
      <c r="J228">
        <f t="shared" si="69"/>
        <v>49.66304538778796</v>
      </c>
      <c r="K228">
        <f t="shared" si="72"/>
        <v>49.98304484416326</v>
      </c>
      <c r="M228" s="15">
        <f t="shared" si="56"/>
        <v>2.2199999999999966</v>
      </c>
      <c r="N228">
        <f t="shared" si="70"/>
        <v>2.0615189945388732E-2</v>
      </c>
      <c r="O228">
        <f t="shared" si="59"/>
        <v>2.9083571348436824E-2</v>
      </c>
      <c r="P228">
        <f t="shared" si="65"/>
        <v>-1.1543855165428347E-2</v>
      </c>
      <c r="Q228">
        <f t="shared" si="66"/>
        <v>-7.4200221566434951E-2</v>
      </c>
      <c r="R228">
        <f t="shared" si="60"/>
        <v>-5.1336303689230825E-2</v>
      </c>
      <c r="S228">
        <f t="shared" si="61"/>
        <v>2.9413534593243293E-4</v>
      </c>
      <c r="U228" s="15">
        <f t="shared" si="57"/>
        <v>2.2199999999999966</v>
      </c>
      <c r="V228">
        <f t="shared" si="71"/>
        <v>19.991716873117696</v>
      </c>
      <c r="W228">
        <f t="shared" si="62"/>
        <v>8.2831268823042592E-3</v>
      </c>
      <c r="X228">
        <f t="shared" si="67"/>
        <v>5.7487337655877537</v>
      </c>
      <c r="Y228">
        <f t="shared" si="68"/>
        <v>-2.114168907425551E-2</v>
      </c>
      <c r="Z228">
        <f t="shared" si="63"/>
        <v>2.0615189945388732E-2</v>
      </c>
      <c r="AA228">
        <f t="shared" si="64"/>
        <v>4.9698761293825555E-2</v>
      </c>
    </row>
    <row r="229" spans="8:27" x14ac:dyDescent="0.25">
      <c r="H229" s="15">
        <f t="shared" si="55"/>
        <v>2.2299999999999964</v>
      </c>
      <c r="I229" s="9">
        <f t="shared" si="58"/>
        <v>49.651527131561544</v>
      </c>
      <c r="J229">
        <f t="shared" si="69"/>
        <v>49.670549378953446</v>
      </c>
      <c r="K229">
        <f t="shared" si="72"/>
        <v>49.983422436085128</v>
      </c>
      <c r="M229" s="15">
        <f t="shared" si="56"/>
        <v>2.2299999999999964</v>
      </c>
      <c r="N229">
        <f t="shared" si="70"/>
        <v>2.0101826908496424E-2</v>
      </c>
      <c r="O229">
        <f t="shared" si="59"/>
        <v>2.8360022988598143E-2</v>
      </c>
      <c r="P229">
        <f t="shared" si="65"/>
        <v>-1.1256637193743172E-2</v>
      </c>
      <c r="Q229">
        <f t="shared" si="66"/>
        <v>-7.2354835983868063E-2</v>
      </c>
      <c r="R229">
        <f t="shared" si="60"/>
        <v>-5.0055660388848684E-2</v>
      </c>
      <c r="S229">
        <f t="shared" si="61"/>
        <v>2.8668835135825868E-4</v>
      </c>
      <c r="U229" s="15">
        <f t="shared" si="57"/>
        <v>2.2299999999999964</v>
      </c>
      <c r="V229">
        <f t="shared" si="71"/>
        <v>19.991923025017151</v>
      </c>
      <c r="W229">
        <f t="shared" si="62"/>
        <v>8.0769749828490944E-3</v>
      </c>
      <c r="X229">
        <f t="shared" si="67"/>
        <v>5.7488155660970799</v>
      </c>
      <c r="Y229">
        <f t="shared" si="68"/>
        <v>-2.0615189945516477E-2</v>
      </c>
      <c r="Z229">
        <f t="shared" si="63"/>
        <v>2.0101826908496424E-2</v>
      </c>
      <c r="AA229">
        <f t="shared" si="64"/>
        <v>4.8461849897094567E-2</v>
      </c>
    </row>
    <row r="230" spans="8:27" x14ac:dyDescent="0.25">
      <c r="H230" s="15">
        <f t="shared" si="55"/>
        <v>2.2399999999999962</v>
      </c>
      <c r="I230" s="9">
        <f t="shared" si="58"/>
        <v>49.65920185928212</v>
      </c>
      <c r="J230">
        <f t="shared" si="69"/>
        <v>49.677886255969518</v>
      </c>
      <c r="K230">
        <f t="shared" si="72"/>
        <v>49.983791619021503</v>
      </c>
      <c r="M230" s="15">
        <f t="shared" si="56"/>
        <v>2.2399999999999962</v>
      </c>
      <c r="N230">
        <f t="shared" si="70"/>
        <v>1.9601270304607937E-2</v>
      </c>
      <c r="O230">
        <f t="shared" si="59"/>
        <v>2.7654469977979119E-2</v>
      </c>
      <c r="P230">
        <f t="shared" si="65"/>
        <v>-1.0976564728910286E-2</v>
      </c>
      <c r="Q230">
        <f t="shared" si="66"/>
        <v>-7.0555301061902415E-2</v>
      </c>
      <c r="R230">
        <f t="shared" si="60"/>
        <v>-4.8807140733118738E-2</v>
      </c>
      <c r="S230">
        <f t="shared" si="61"/>
        <v>2.7943669921221687E-4</v>
      </c>
      <c r="U230" s="15">
        <f t="shared" si="57"/>
        <v>2.2399999999999962</v>
      </c>
      <c r="V230">
        <f t="shared" si="71"/>
        <v>19.992124043286235</v>
      </c>
      <c r="W230">
        <f t="shared" si="62"/>
        <v>7.8759567137645092E-3</v>
      </c>
      <c r="X230">
        <f t="shared" si="67"/>
        <v>5.7488953307555626</v>
      </c>
      <c r="Y230">
        <f t="shared" si="68"/>
        <v>-2.010182690845852E-2</v>
      </c>
      <c r="Z230">
        <f t="shared" si="63"/>
        <v>1.9601270304607937E-2</v>
      </c>
      <c r="AA230">
        <f t="shared" si="64"/>
        <v>4.7255740282587055E-2</v>
      </c>
    </row>
    <row r="231" spans="8:27" x14ac:dyDescent="0.25">
      <c r="H231" s="15">
        <f t="shared" si="55"/>
        <v>2.249999999999996</v>
      </c>
      <c r="I231" s="9">
        <f t="shared" si="58"/>
        <v>49.666707559652437</v>
      </c>
      <c r="J231">
        <f t="shared" si="69"/>
        <v>49.685059740474209</v>
      </c>
      <c r="K231">
        <f t="shared" si="72"/>
        <v>49.984152580240796</v>
      </c>
      <c r="M231" s="15">
        <f t="shared" si="56"/>
        <v>2.249999999999996</v>
      </c>
      <c r="N231">
        <f t="shared" si="70"/>
        <v>1.9113198897276751E-2</v>
      </c>
      <c r="O231">
        <f t="shared" si="59"/>
        <v>2.6966465167031439E-2</v>
      </c>
      <c r="P231">
        <f t="shared" si="65"/>
        <v>-1.0703460053185234E-2</v>
      </c>
      <c r="Q231">
        <f t="shared" si="66"/>
        <v>-6.8800481094767954E-2</v>
      </c>
      <c r="R231">
        <f t="shared" si="60"/>
        <v>-4.758992515744194E-2</v>
      </c>
      <c r="S231">
        <f t="shared" si="61"/>
        <v>2.7237474281096782E-4</v>
      </c>
      <c r="U231" s="15">
        <f t="shared" si="57"/>
        <v>2.249999999999996</v>
      </c>
      <c r="V231">
        <f t="shared" si="71"/>
        <v>19.992320055989282</v>
      </c>
      <c r="W231">
        <f t="shared" si="62"/>
        <v>7.6799440107180317E-3</v>
      </c>
      <c r="X231">
        <f t="shared" si="67"/>
        <v>5.7489731102591852</v>
      </c>
      <c r="Y231">
        <f t="shared" si="68"/>
        <v>-1.9601270304647755E-2</v>
      </c>
      <c r="Z231">
        <f t="shared" si="63"/>
        <v>1.9113198897276751E-2</v>
      </c>
      <c r="AA231">
        <f t="shared" si="64"/>
        <v>4.607966406430819E-2</v>
      </c>
    </row>
    <row r="232" spans="8:27" x14ac:dyDescent="0.25">
      <c r="H232" s="15">
        <f t="shared" si="55"/>
        <v>2.2599999999999958</v>
      </c>
      <c r="I232" s="9">
        <f t="shared" si="58"/>
        <v>49.674047955312098</v>
      </c>
      <c r="J232">
        <f t="shared" si="69"/>
        <v>49.692073471224539</v>
      </c>
      <c r="K232">
        <f t="shared" si="72"/>
        <v>49.984505502840932</v>
      </c>
      <c r="M232" s="15">
        <f t="shared" si="56"/>
        <v>2.2599999999999958</v>
      </c>
      <c r="N232">
        <f t="shared" si="70"/>
        <v>1.8637299645702331E-2</v>
      </c>
      <c r="O232">
        <f t="shared" si="59"/>
        <v>2.6295572484764374E-2</v>
      </c>
      <c r="P232">
        <f t="shared" si="65"/>
        <v>-1.0437149864926255E-2</v>
      </c>
      <c r="Q232">
        <f t="shared" si="66"/>
        <v>-6.7089268226706508E-2</v>
      </c>
      <c r="R232">
        <f t="shared" si="60"/>
        <v>-4.6403216073569627E-2</v>
      </c>
      <c r="S232">
        <f t="shared" si="61"/>
        <v>2.6549703736959349E-4</v>
      </c>
      <c r="U232" s="15">
        <f t="shared" si="57"/>
        <v>2.2599999999999958</v>
      </c>
      <c r="V232">
        <f t="shared" si="71"/>
        <v>19.992511187978256</v>
      </c>
      <c r="W232">
        <f t="shared" si="62"/>
        <v>7.4888120217444509E-3</v>
      </c>
      <c r="X232">
        <f t="shared" si="67"/>
        <v>5.7490489540393472</v>
      </c>
      <c r="Y232">
        <f t="shared" si="68"/>
        <v>-1.9113198897358075E-2</v>
      </c>
      <c r="Z232">
        <f t="shared" si="63"/>
        <v>1.8637299645702331E-2</v>
      </c>
      <c r="AA232">
        <f t="shared" si="64"/>
        <v>4.4932872130466706E-2</v>
      </c>
    </row>
    <row r="233" spans="8:27" x14ac:dyDescent="0.25">
      <c r="H233" s="15">
        <f t="shared" si="55"/>
        <v>2.2699999999999956</v>
      </c>
      <c r="I233" s="9">
        <f t="shared" si="58"/>
        <v>49.681226686913647</v>
      </c>
      <c r="J233">
        <f t="shared" si="69"/>
        <v>49.698931005942292</v>
      </c>
      <c r="K233">
        <f t="shared" si="72"/>
        <v>49.984850565842244</v>
      </c>
      <c r="M233" s="15">
        <f t="shared" si="56"/>
        <v>2.2699999999999956</v>
      </c>
      <c r="N233">
        <f t="shared" si="70"/>
        <v>1.8173267484966636E-2</v>
      </c>
      <c r="O233">
        <f t="shared" si="59"/>
        <v>2.5641366666762956E-2</v>
      </c>
      <c r="P233">
        <f t="shared" si="65"/>
        <v>-1.0177465169168618E-2</v>
      </c>
      <c r="Q233">
        <f t="shared" si="66"/>
        <v>-6.5420581800141805E-2</v>
      </c>
      <c r="R233">
        <f t="shared" si="60"/>
        <v>-4.5246237201557786E-2</v>
      </c>
      <c r="S233">
        <f t="shared" si="61"/>
        <v>2.5879833031859992E-4</v>
      </c>
      <c r="U233" s="15">
        <f t="shared" si="57"/>
        <v>2.2699999999999956</v>
      </c>
      <c r="V233">
        <f t="shared" si="71"/>
        <v>19.992697560974712</v>
      </c>
      <c r="W233">
        <f t="shared" si="62"/>
        <v>7.3024390252882654E-3</v>
      </c>
      <c r="X233">
        <f t="shared" si="67"/>
        <v>5.7491229102945827</v>
      </c>
      <c r="Y233">
        <f t="shared" si="68"/>
        <v>-1.8637299645618555E-2</v>
      </c>
      <c r="Z233">
        <f t="shared" si="63"/>
        <v>1.8173267484966636E-2</v>
      </c>
      <c r="AA233">
        <f t="shared" si="64"/>
        <v>4.3814634151729592E-2</v>
      </c>
    </row>
    <row r="234" spans="8:27" x14ac:dyDescent="0.25">
      <c r="H234" s="15">
        <f t="shared" si="55"/>
        <v>2.2799999999999954</v>
      </c>
      <c r="I234" s="9">
        <f t="shared" si="58"/>
        <v>49.68824731492834</v>
      </c>
      <c r="J234">
        <f t="shared" si="69"/>
        <v>49.705635823118648</v>
      </c>
      <c r="K234">
        <f t="shared" si="72"/>
        <v>49.985187944278273</v>
      </c>
      <c r="M234" s="15">
        <f t="shared" si="56"/>
        <v>2.2799999999999954</v>
      </c>
      <c r="N234">
        <f t="shared" si="70"/>
        <v>1.7720805112951057E-2</v>
      </c>
      <c r="O234">
        <f t="shared" si="59"/>
        <v>2.5003432989677873E-2</v>
      </c>
      <c r="P234">
        <f t="shared" si="65"/>
        <v>-9.9242411708864147E-3</v>
      </c>
      <c r="Q234">
        <f t="shared" si="66"/>
        <v>-6.379336770850827E-2</v>
      </c>
      <c r="R234">
        <f t="shared" si="60"/>
        <v>-4.4118232926569544E-2</v>
      </c>
      <c r="S234">
        <f t="shared" si="61"/>
        <v>2.5227355216141112E-4</v>
      </c>
      <c r="U234" s="15">
        <f t="shared" si="57"/>
        <v>2.2799999999999954</v>
      </c>
      <c r="V234">
        <f t="shared" si="71"/>
        <v>19.992879293649562</v>
      </c>
      <c r="W234">
        <f t="shared" si="62"/>
        <v>7.1207063504381551E-3</v>
      </c>
      <c r="X234">
        <f t="shared" si="67"/>
        <v>5.7491950260214617</v>
      </c>
      <c r="Y234">
        <f t="shared" si="68"/>
        <v>-1.8173267485011024E-2</v>
      </c>
      <c r="Z234">
        <f t="shared" si="63"/>
        <v>1.7720805112951057E-2</v>
      </c>
      <c r="AA234">
        <f t="shared" si="64"/>
        <v>4.2724238102628931E-2</v>
      </c>
    </row>
    <row r="235" spans="8:27" x14ac:dyDescent="0.25">
      <c r="H235" s="15">
        <f t="shared" si="55"/>
        <v>2.2899999999999952</v>
      </c>
      <c r="I235" s="9">
        <f t="shared" si="58"/>
        <v>49.695113321412016</v>
      </c>
      <c r="J235">
        <f t="shared" si="69"/>
        <v>49.712191323778669</v>
      </c>
      <c r="K235">
        <f t="shared" si="72"/>
        <v>49.985517809284566</v>
      </c>
      <c r="M235" s="15">
        <f t="shared" si="56"/>
        <v>2.2899999999999952</v>
      </c>
      <c r="N235">
        <f t="shared" si="70"/>
        <v>1.7279622783685361E-2</v>
      </c>
      <c r="O235">
        <f t="shared" si="59"/>
        <v>2.43813670121584E-2</v>
      </c>
      <c r="P235">
        <f t="shared" si="65"/>
        <v>-9.6773171708772338E-3</v>
      </c>
      <c r="Q235">
        <f t="shared" si="66"/>
        <v>-6.2206597751947312E-2</v>
      </c>
      <c r="R235">
        <f t="shared" si="60"/>
        <v>-4.3018467674742489E-2</v>
      </c>
      <c r="S235">
        <f t="shared" si="61"/>
        <v>2.459178075888413E-4</v>
      </c>
      <c r="U235" s="15">
        <f t="shared" si="57"/>
        <v>2.2899999999999952</v>
      </c>
      <c r="V235">
        <f t="shared" si="71"/>
        <v>19.993056501700693</v>
      </c>
      <c r="W235">
        <f t="shared" si="62"/>
        <v>6.9434982993072936E-3</v>
      </c>
      <c r="X235">
        <f t="shared" si="67"/>
        <v>5.7492653470447106</v>
      </c>
      <c r="Y235">
        <f t="shared" si="68"/>
        <v>-1.7720805113086158E-2</v>
      </c>
      <c r="Z235">
        <f t="shared" si="63"/>
        <v>1.7279622783685361E-2</v>
      </c>
      <c r="AA235">
        <f t="shared" si="64"/>
        <v>4.1660989795843761E-2</v>
      </c>
    </row>
    <row r="236" spans="8:27" x14ac:dyDescent="0.25">
      <c r="H236" s="15">
        <f t="shared" si="55"/>
        <v>2.2999999999999949</v>
      </c>
      <c r="I236" s="9">
        <f t="shared" si="58"/>
        <v>49.701828111732077</v>
      </c>
      <c r="J236">
        <f t="shared" si="69"/>
        <v>49.718600833206473</v>
      </c>
      <c r="K236">
        <f t="shared" si="72"/>
        <v>49.985840328185468</v>
      </c>
      <c r="M236" s="15">
        <f t="shared" si="56"/>
        <v>2.2999999999999949</v>
      </c>
      <c r="N236">
        <f t="shared" si="70"/>
        <v>1.6849438106937936E-2</v>
      </c>
      <c r="O236">
        <f t="shared" si="59"/>
        <v>2.3774774321886145E-2</v>
      </c>
      <c r="P236">
        <f t="shared" si="65"/>
        <v>-9.4365364642070102E-3</v>
      </c>
      <c r="Q236">
        <f t="shared" si="66"/>
        <v>-6.0659269027225557E-2</v>
      </c>
      <c r="R236">
        <f t="shared" si="60"/>
        <v>-4.1946225320323272E-2</v>
      </c>
      <c r="S236">
        <f t="shared" si="61"/>
        <v>2.3972636753501544E-4</v>
      </c>
      <c r="U236" s="15">
        <f t="shared" si="57"/>
        <v>2.2999999999999949</v>
      </c>
      <c r="V236">
        <f t="shared" si="71"/>
        <v>19.993229297928529</v>
      </c>
      <c r="W236">
        <f t="shared" si="62"/>
        <v>6.77070207147068E-3</v>
      </c>
      <c r="X236">
        <f t="shared" si="67"/>
        <v>5.7493339180465641</v>
      </c>
      <c r="Y236">
        <f t="shared" si="68"/>
        <v>-1.7279622783661353E-2</v>
      </c>
      <c r="Z236">
        <f t="shared" si="63"/>
        <v>1.6849438106937936E-2</v>
      </c>
      <c r="AA236">
        <f t="shared" si="64"/>
        <v>4.062421242882408E-2</v>
      </c>
    </row>
    <row r="237" spans="8:27" x14ac:dyDescent="0.25">
      <c r="H237" s="15">
        <f t="shared" si="55"/>
        <v>2.3099999999999947</v>
      </c>
      <c r="I237" s="9">
        <f t="shared" si="58"/>
        <v>49.708395016256489</v>
      </c>
      <c r="J237">
        <f t="shared" si="69"/>
        <v>49.724867602631981</v>
      </c>
      <c r="K237">
        <f t="shared" si="72"/>
        <v>49.986155664579009</v>
      </c>
      <c r="M237" s="15">
        <f t="shared" si="56"/>
        <v>2.3099999999999947</v>
      </c>
      <c r="N237">
        <f t="shared" si="70"/>
        <v>1.6429975853734704E-2</v>
      </c>
      <c r="O237">
        <f t="shared" si="59"/>
        <v>2.3183270288681199E-2</v>
      </c>
      <c r="P237">
        <f t="shared" si="65"/>
        <v>-9.2017462411541733E-3</v>
      </c>
      <c r="Q237">
        <f t="shared" si="66"/>
        <v>-5.9150403320494538E-2</v>
      </c>
      <c r="R237">
        <f t="shared" si="60"/>
        <v>-4.0900808613017835E-2</v>
      </c>
      <c r="S237">
        <f t="shared" si="61"/>
        <v>2.336946616134164E-4</v>
      </c>
      <c r="U237" s="15">
        <f t="shared" si="57"/>
        <v>2.3099999999999947</v>
      </c>
      <c r="V237">
        <f t="shared" si="71"/>
        <v>19.993397792309597</v>
      </c>
      <c r="W237">
        <f t="shared" si="62"/>
        <v>6.6022076904026505E-3</v>
      </c>
      <c r="X237">
        <f t="shared" si="67"/>
        <v>5.7494007825953739</v>
      </c>
      <c r="Y237">
        <f t="shared" si="68"/>
        <v>-1.684943810680295E-2</v>
      </c>
      <c r="Z237">
        <f t="shared" si="63"/>
        <v>1.6429975853734704E-2</v>
      </c>
      <c r="AA237">
        <f t="shared" si="64"/>
        <v>3.9613246142415903E-2</v>
      </c>
    </row>
    <row r="238" spans="8:27" x14ac:dyDescent="0.25">
      <c r="H238" s="15">
        <f t="shared" ref="H238:H277" si="73">H237+$E$8</f>
        <v>2.3199999999999945</v>
      </c>
      <c r="I238" s="9">
        <f t="shared" si="58"/>
        <v>49.714817292005591</v>
      </c>
      <c r="J238">
        <f t="shared" si="69"/>
        <v>49.730994810880105</v>
      </c>
      <c r="K238">
        <f t="shared" si="72"/>
        <v>49.986463978419884</v>
      </c>
      <c r="M238" s="15">
        <f t="shared" ref="M238:M277" si="74">M237+$E$8</f>
        <v>2.3199999999999945</v>
      </c>
      <c r="N238">
        <f t="shared" si="70"/>
        <v>1.6020967767604526E-2</v>
      </c>
      <c r="O238">
        <f t="shared" si="59"/>
        <v>2.2606479823584442E-2</v>
      </c>
      <c r="P238">
        <f t="shared" si="65"/>
        <v>-8.9727974905928452E-3</v>
      </c>
      <c r="Q238">
        <f t="shared" si="66"/>
        <v>-5.7679046509675688E-2</v>
      </c>
      <c r="R238">
        <f t="shared" si="60"/>
        <v>-3.9881538624351669E-2</v>
      </c>
      <c r="S238">
        <f t="shared" si="61"/>
        <v>2.2781827089210158E-4</v>
      </c>
      <c r="U238" s="15">
        <f t="shared" ref="U238:U277" si="75">U237+$E$8</f>
        <v>2.3199999999999945</v>
      </c>
      <c r="V238">
        <f t="shared" si="71"/>
        <v>19.993562092068135</v>
      </c>
      <c r="W238">
        <f t="shared" si="62"/>
        <v>6.437907931864828E-3</v>
      </c>
      <c r="X238">
        <f t="shared" si="67"/>
        <v>5.7494659831734856</v>
      </c>
      <c r="Y238">
        <f t="shared" si="68"/>
        <v>-1.6429975853782253E-2</v>
      </c>
      <c r="Z238">
        <f t="shared" si="63"/>
        <v>1.6020967767604526E-2</v>
      </c>
      <c r="AA238">
        <f t="shared" si="64"/>
        <v>3.8627447591188968E-2</v>
      </c>
    </row>
    <row r="239" spans="8:27" x14ac:dyDescent="0.25">
      <c r="H239" s="15">
        <f t="shared" si="73"/>
        <v>2.3299999999999943</v>
      </c>
      <c r="I239" s="9">
        <f t="shared" si="58"/>
        <v>49.721098124267456</v>
      </c>
      <c r="J239">
        <f t="shared" si="69"/>
        <v>49.736985565983218</v>
      </c>
      <c r="K239">
        <f t="shared" si="72"/>
        <v>49.986765426100582</v>
      </c>
      <c r="M239" s="15">
        <f t="shared" si="74"/>
        <v>2.3299999999999943</v>
      </c>
      <c r="N239">
        <f t="shared" si="70"/>
        <v>1.5622152381361009E-2</v>
      </c>
      <c r="O239">
        <f t="shared" si="59"/>
        <v>2.2044037143765006E-2</v>
      </c>
      <c r="P239">
        <f t="shared" si="65"/>
        <v>-8.7495449057560983E-3</v>
      </c>
      <c r="Q239">
        <f t="shared" si="66"/>
        <v>-5.6244267981943666E-2</v>
      </c>
      <c r="R239">
        <f t="shared" si="60"/>
        <v>-3.8887754213757182E-2</v>
      </c>
      <c r="S239">
        <f t="shared" si="61"/>
        <v>2.2209292106991838E-4</v>
      </c>
      <c r="U239" s="15">
        <f t="shared" si="75"/>
        <v>2.3299999999999943</v>
      </c>
      <c r="V239">
        <f t="shared" si="71"/>
        <v>19.993722301745812</v>
      </c>
      <c r="W239">
        <f t="shared" si="62"/>
        <v>6.2776982541876691E-3</v>
      </c>
      <c r="X239">
        <f t="shared" si="67"/>
        <v>5.7495295612044162</v>
      </c>
      <c r="Y239">
        <f t="shared" si="68"/>
        <v>-1.6020967767715888E-2</v>
      </c>
      <c r="Z239">
        <f t="shared" si="63"/>
        <v>1.5622152381361009E-2</v>
      </c>
      <c r="AA239">
        <f t="shared" si="64"/>
        <v>3.7666189525126015E-2</v>
      </c>
    </row>
    <row r="240" spans="8:27" x14ac:dyDescent="0.25">
      <c r="H240" s="15">
        <f t="shared" si="73"/>
        <v>2.3399999999999941</v>
      </c>
      <c r="I240" s="9">
        <f t="shared" si="58"/>
        <v>49.727240628177725</v>
      </c>
      <c r="J240">
        <f t="shared" si="69"/>
        <v>49.742842906757694</v>
      </c>
      <c r="K240">
        <f t="shared" si="72"/>
        <v>49.987060160530746</v>
      </c>
      <c r="M240" s="15">
        <f t="shared" si="74"/>
        <v>2.3399999999999941</v>
      </c>
      <c r="N240">
        <f t="shared" si="70"/>
        <v>1.5233274839223437E-2</v>
      </c>
      <c r="O240">
        <f t="shared" si="59"/>
        <v>2.149558554302388E-2</v>
      </c>
      <c r="P240">
        <f t="shared" si="65"/>
        <v>-8.5318467923221532E-3</v>
      </c>
      <c r="Q240">
        <f t="shared" si="66"/>
        <v>-5.4845160074112539E-2</v>
      </c>
      <c r="R240">
        <f t="shared" si="60"/>
        <v>-3.7918811518568588E-2</v>
      </c>
      <c r="S240">
        <f t="shared" si="61"/>
        <v>2.1651447630413254E-4</v>
      </c>
      <c r="U240" s="15">
        <f t="shared" si="75"/>
        <v>2.3399999999999941</v>
      </c>
      <c r="V240">
        <f t="shared" si="71"/>
        <v>19.993878523269625</v>
      </c>
      <c r="W240">
        <f t="shared" si="62"/>
        <v>6.1214767303745532E-3</v>
      </c>
      <c r="X240">
        <f t="shared" si="67"/>
        <v>5.7495915570793388</v>
      </c>
      <c r="Y240">
        <f t="shared" si="68"/>
        <v>-1.5622152381311594E-2</v>
      </c>
      <c r="Z240">
        <f t="shared" si="63"/>
        <v>1.5233274839223437E-2</v>
      </c>
      <c r="AA240">
        <f t="shared" si="64"/>
        <v>3.6728860382247319E-2</v>
      </c>
    </row>
    <row r="241" spans="8:27" x14ac:dyDescent="0.25">
      <c r="H241" s="15">
        <f t="shared" si="73"/>
        <v>2.3499999999999939</v>
      </c>
      <c r="I241" s="9">
        <f t="shared" si="58"/>
        <v>49.733247850264625</v>
      </c>
      <c r="J241">
        <f t="shared" si="69"/>
        <v>49.748569804345365</v>
      </c>
      <c r="K241">
        <f t="shared" si="72"/>
        <v>49.98734833121469</v>
      </c>
      <c r="M241" s="15">
        <f t="shared" si="74"/>
        <v>2.3499999999999939</v>
      </c>
      <c r="N241">
        <f t="shared" si="70"/>
        <v>1.4854086724037751E-2</v>
      </c>
      <c r="O241">
        <f t="shared" si="59"/>
        <v>2.0960777167855618E-2</v>
      </c>
      <c r="P241">
        <f t="shared" si="65"/>
        <v>-8.3195649787677559E-3</v>
      </c>
      <c r="Q241">
        <f t="shared" si="66"/>
        <v>-5.3480837516826224E-2</v>
      </c>
      <c r="R241">
        <f t="shared" si="60"/>
        <v>-3.6974083460129648E-2</v>
      </c>
      <c r="S241">
        <f t="shared" si="61"/>
        <v>2.1107893329580518E-4</v>
      </c>
      <c r="U241" s="15">
        <f t="shared" si="75"/>
        <v>2.3499999999999939</v>
      </c>
      <c r="V241">
        <f t="shared" si="71"/>
        <v>19.994030856018018</v>
      </c>
      <c r="W241">
        <f t="shared" si="62"/>
        <v>5.9691439819822278E-3</v>
      </c>
      <c r="X241">
        <f t="shared" si="67"/>
        <v>5.749652010182901</v>
      </c>
      <c r="Y241">
        <f t="shared" si="68"/>
        <v>-1.5233274839232536E-2</v>
      </c>
      <c r="Z241">
        <f t="shared" si="63"/>
        <v>1.4854086724037751E-2</v>
      </c>
      <c r="AA241">
        <f t="shared" si="64"/>
        <v>3.5814863891893367E-2</v>
      </c>
    </row>
    <row r="242" spans="8:27" x14ac:dyDescent="0.25">
      <c r="H242" s="15">
        <f t="shared" si="73"/>
        <v>2.3599999999999937</v>
      </c>
      <c r="I242" s="9">
        <f t="shared" si="58"/>
        <v>49.739122769960005</v>
      </c>
      <c r="J242">
        <f t="shared" si="69"/>
        <v>49.754169163720633</v>
      </c>
      <c r="K242">
        <f t="shared" si="72"/>
        <v>49.987630084327286</v>
      </c>
      <c r="M242" s="15">
        <f t="shared" si="74"/>
        <v>2.3599999999999937</v>
      </c>
      <c r="N242">
        <f t="shared" si="70"/>
        <v>1.4484345889436454E-2</v>
      </c>
      <c r="O242">
        <f t="shared" si="59"/>
        <v>2.0439272799016053E-2</v>
      </c>
      <c r="P242">
        <f t="shared" si="65"/>
        <v>-8.1125647289333972E-3</v>
      </c>
      <c r="Q242">
        <f t="shared" si="66"/>
        <v>-5.2150436883956555E-2</v>
      </c>
      <c r="R242">
        <f t="shared" si="60"/>
        <v>-3.6052959262731672E-2</v>
      </c>
      <c r="S242">
        <f t="shared" si="61"/>
        <v>2.0578241547444462E-4</v>
      </c>
      <c r="U242" s="15">
        <f t="shared" si="75"/>
        <v>2.3599999999999937</v>
      </c>
      <c r="V242">
        <f t="shared" si="71"/>
        <v>19.994179396885258</v>
      </c>
      <c r="W242">
        <f t="shared" si="62"/>
        <v>5.8206031147420845E-3</v>
      </c>
      <c r="X242">
        <f t="shared" si="67"/>
        <v>5.749710958918385</v>
      </c>
      <c r="Y242">
        <f t="shared" si="68"/>
        <v>-1.4854086724014337E-2</v>
      </c>
      <c r="Z242">
        <f t="shared" si="63"/>
        <v>1.4484345889436454E-2</v>
      </c>
      <c r="AA242">
        <f t="shared" si="64"/>
        <v>3.4923618688452507E-2</v>
      </c>
    </row>
    <row r="243" spans="8:27" x14ac:dyDescent="0.25">
      <c r="H243" s="15">
        <f t="shared" si="73"/>
        <v>2.3699999999999934</v>
      </c>
      <c r="I243" s="9">
        <f t="shared" si="58"/>
        <v>49.744868301077034</v>
      </c>
      <c r="J243">
        <f t="shared" si="69"/>
        <v>49.759643825164005</v>
      </c>
      <c r="K243">
        <f t="shared" si="72"/>
        <v>49.987905562788072</v>
      </c>
      <c r="M243" s="15">
        <f t="shared" si="74"/>
        <v>2.3699999999999934</v>
      </c>
      <c r="N243">
        <f t="shared" si="70"/>
        <v>1.4123816296809137E-2</v>
      </c>
      <c r="O243">
        <f t="shared" si="59"/>
        <v>1.9930741638276801E-2</v>
      </c>
      <c r="P243">
        <f t="shared" si="65"/>
        <v>-7.9107146567469321E-3</v>
      </c>
      <c r="Q243">
        <f t="shared" si="66"/>
        <v>-5.0853116073925134E-2</v>
      </c>
      <c r="R243">
        <f t="shared" si="60"/>
        <v>-3.5154843996873165E-2</v>
      </c>
      <c r="S243">
        <f t="shared" si="61"/>
        <v>2.0062116792031112E-4</v>
      </c>
      <c r="U243" s="15">
        <f t="shared" si="75"/>
        <v>2.3699999999999934</v>
      </c>
      <c r="V243">
        <f t="shared" si="71"/>
        <v>19.994324240344152</v>
      </c>
      <c r="W243">
        <f t="shared" si="62"/>
        <v>5.6757596558476564E-3</v>
      </c>
      <c r="X243">
        <f t="shared" si="67"/>
        <v>5.7497684407322378</v>
      </c>
      <c r="Y243">
        <f t="shared" si="68"/>
        <v>-1.4484345889442807E-2</v>
      </c>
      <c r="Z243">
        <f t="shared" si="63"/>
        <v>1.4123816296809137E-2</v>
      </c>
      <c r="AA243">
        <f t="shared" si="64"/>
        <v>3.4054557935085938E-2</v>
      </c>
    </row>
    <row r="244" spans="8:27" x14ac:dyDescent="0.25">
      <c r="H244" s="15">
        <f t="shared" si="73"/>
        <v>2.3799999999999932</v>
      </c>
      <c r="I244" s="9">
        <f t="shared" si="58"/>
        <v>49.750487293255382</v>
      </c>
      <c r="J244">
        <f t="shared" si="69"/>
        <v>49.764996565702852</v>
      </c>
      <c r="K244">
        <f t="shared" si="72"/>
        <v>49.988174906333761</v>
      </c>
      <c r="M244" s="15">
        <f t="shared" si="74"/>
        <v>2.3799999999999932</v>
      </c>
      <c r="N244">
        <f t="shared" si="70"/>
        <v>1.3772267856840405E-2</v>
      </c>
      <c r="O244">
        <f t="shared" si="59"/>
        <v>1.9434861100439103E-2</v>
      </c>
      <c r="P244">
        <f t="shared" si="65"/>
        <v>-7.7138866430533524E-3</v>
      </c>
      <c r="Q244">
        <f t="shared" si="66"/>
        <v>-4.9588053783769862E-2</v>
      </c>
      <c r="R244">
        <f t="shared" si="60"/>
        <v>-3.4279158131575498E-2</v>
      </c>
      <c r="S244">
        <f t="shared" si="61"/>
        <v>1.9559155222625621E-4</v>
      </c>
      <c r="U244" s="15">
        <f t="shared" si="75"/>
        <v>2.3799999999999932</v>
      </c>
      <c r="V244">
        <f t="shared" si="71"/>
        <v>19.99446547850712</v>
      </c>
      <c r="W244">
        <f t="shared" si="62"/>
        <v>5.534521492879918E-3</v>
      </c>
      <c r="X244">
        <f t="shared" si="67"/>
        <v>5.7498244921379813</v>
      </c>
      <c r="Y244">
        <f t="shared" si="68"/>
        <v>-1.4123816296773839E-2</v>
      </c>
      <c r="Z244">
        <f t="shared" si="63"/>
        <v>1.3772267856840405E-2</v>
      </c>
      <c r="AA244">
        <f t="shared" si="64"/>
        <v>3.3207128957279508E-2</v>
      </c>
    </row>
    <row r="245" spans="8:27" x14ac:dyDescent="0.25">
      <c r="H245" s="15">
        <f t="shared" si="73"/>
        <v>2.389999999999993</v>
      </c>
      <c r="I245" s="9">
        <f t="shared" si="58"/>
        <v>49.755982533374556</v>
      </c>
      <c r="J245">
        <f t="shared" si="69"/>
        <v>49.770230100520045</v>
      </c>
      <c r="K245">
        <f t="shared" si="72"/>
        <v>49.988438251589137</v>
      </c>
      <c r="M245" s="15">
        <f t="shared" si="74"/>
        <v>2.389999999999993</v>
      </c>
      <c r="N245">
        <f t="shared" si="70"/>
        <v>1.3429476275524651E-2</v>
      </c>
      <c r="O245">
        <f t="shared" si="59"/>
        <v>1.8951316610335282E-2</v>
      </c>
      <c r="P245">
        <f t="shared" si="65"/>
        <v>-7.5219557544994806E-3</v>
      </c>
      <c r="Q245">
        <f t="shared" si="66"/>
        <v>-4.8354449010382106E-2</v>
      </c>
      <c r="R245">
        <f t="shared" si="60"/>
        <v>-3.3425337107204238E-2</v>
      </c>
      <c r="S245">
        <f t="shared" si="61"/>
        <v>1.9069004193066064E-4</v>
      </c>
      <c r="U245" s="15">
        <f t="shared" si="75"/>
        <v>2.389999999999993</v>
      </c>
      <c r="V245">
        <f t="shared" si="71"/>
        <v>19.99460320118569</v>
      </c>
      <c r="W245">
        <f t="shared" si="62"/>
        <v>5.3967988143099888E-3</v>
      </c>
      <c r="X245">
        <f t="shared" si="67"/>
        <v>5.7498791487395176</v>
      </c>
      <c r="Y245">
        <f t="shared" si="68"/>
        <v>-1.3772267856992926E-2</v>
      </c>
      <c r="Z245">
        <f t="shared" si="63"/>
        <v>1.3429476275524651E-2</v>
      </c>
      <c r="AA245">
        <f t="shared" si="64"/>
        <v>3.2380792885859933E-2</v>
      </c>
    </row>
    <row r="246" spans="8:27" x14ac:dyDescent="0.25">
      <c r="H246" s="15">
        <f t="shared" si="73"/>
        <v>2.3999999999999928</v>
      </c>
      <c r="I246" s="9">
        <f t="shared" si="58"/>
        <v>49.761356746936166</v>
      </c>
      <c r="J246">
        <f t="shared" si="69"/>
        <v>49.77534708433123</v>
      </c>
      <c r="K246">
        <f t="shared" si="72"/>
        <v>49.988695732136335</v>
      </c>
      <c r="M246" s="15">
        <f t="shared" si="74"/>
        <v>2.3999999999999928</v>
      </c>
      <c r="N246">
        <f t="shared" si="70"/>
        <v>1.3095222904452608E-2</v>
      </c>
      <c r="O246">
        <f t="shared" si="59"/>
        <v>1.8479801404873632E-2</v>
      </c>
      <c r="P246">
        <f t="shared" si="65"/>
        <v>-7.3348001644234356E-3</v>
      </c>
      <c r="Q246">
        <f t="shared" si="66"/>
        <v>-4.7151520546164991E-2</v>
      </c>
      <c r="R246">
        <f t="shared" si="60"/>
        <v>-3.2592830915611902E-2</v>
      </c>
      <c r="S246">
        <f t="shared" si="61"/>
        <v>1.8591321783156464E-4</v>
      </c>
      <c r="U246" s="15">
        <f t="shared" si="75"/>
        <v>2.3999999999999928</v>
      </c>
      <c r="V246">
        <f t="shared" si="71"/>
        <v>19.994737495948446</v>
      </c>
      <c r="W246">
        <f t="shared" si="62"/>
        <v>5.2625040515543731E-3</v>
      </c>
      <c r="X246">
        <f t="shared" si="67"/>
        <v>5.7499324452538465</v>
      </c>
      <c r="Y246">
        <f t="shared" si="68"/>
        <v>-1.3429476275561569E-2</v>
      </c>
      <c r="Z246">
        <f t="shared" si="63"/>
        <v>1.3095222904452608E-2</v>
      </c>
      <c r="AA246">
        <f t="shared" si="64"/>
        <v>3.1575024309326238E-2</v>
      </c>
    </row>
    <row r="247" spans="8:27" x14ac:dyDescent="0.25">
      <c r="H247" s="15">
        <f t="shared" si="73"/>
        <v>2.4099999999999926</v>
      </c>
      <c r="I247" s="9">
        <f t="shared" si="58"/>
        <v>49.766612599415652</v>
      </c>
      <c r="J247">
        <f t="shared" si="69"/>
        <v>49.780350112731441</v>
      </c>
      <c r="K247">
        <f t="shared" si="72"/>
        <v>49.98894747858261</v>
      </c>
      <c r="M247" s="15">
        <f t="shared" si="74"/>
        <v>2.4099999999999926</v>
      </c>
      <c r="N247">
        <f t="shared" si="70"/>
        <v>1.276929459529649E-2</v>
      </c>
      <c r="O247">
        <f t="shared" si="59"/>
        <v>1.8020016339752285E-2</v>
      </c>
      <c r="P247">
        <f t="shared" si="65"/>
        <v>-7.1523010757003061E-3</v>
      </c>
      <c r="Q247">
        <f t="shared" si="66"/>
        <v>-4.5978506512134656E-2</v>
      </c>
      <c r="R247">
        <f t="shared" si="60"/>
        <v>-3.1781103704712398E-2</v>
      </c>
      <c r="S247">
        <f t="shared" si="61"/>
        <v>1.8125776411830399E-4</v>
      </c>
      <c r="U247" s="15">
        <f t="shared" si="75"/>
        <v>2.4099999999999926</v>
      </c>
      <c r="V247">
        <f t="shared" si="71"/>
        <v>19.994868448177492</v>
      </c>
      <c r="W247">
        <f t="shared" si="62"/>
        <v>5.1315518225081291E-3</v>
      </c>
      <c r="X247">
        <f t="shared" si="67"/>
        <v>5.7499844155332172</v>
      </c>
      <c r="Y247">
        <f t="shared" si="68"/>
        <v>-1.3095222904624393E-2</v>
      </c>
      <c r="Z247">
        <f t="shared" si="63"/>
        <v>1.276929459529649E-2</v>
      </c>
      <c r="AA247">
        <f t="shared" si="64"/>
        <v>3.0789310935048775E-2</v>
      </c>
    </row>
    <row r="248" spans="8:27" x14ac:dyDescent="0.25">
      <c r="H248" s="15">
        <f t="shared" si="73"/>
        <v>2.4199999999999924</v>
      </c>
      <c r="I248" s="9">
        <f t="shared" si="58"/>
        <v>49.771752697584333</v>
      </c>
      <c r="J248">
        <f t="shared" si="69"/>
        <v>49.785241723511724</v>
      </c>
      <c r="K248">
        <f t="shared" si="72"/>
        <v>49.989193618626601</v>
      </c>
      <c r="M248" s="15">
        <f t="shared" si="74"/>
        <v>2.4199999999999924</v>
      </c>
      <c r="N248">
        <f t="shared" si="70"/>
        <v>1.2451483558249366E-2</v>
      </c>
      <c r="O248">
        <f t="shared" si="59"/>
        <v>1.7571669701086434E-2</v>
      </c>
      <c r="P248">
        <f t="shared" si="65"/>
        <v>-6.9743426454961129E-3</v>
      </c>
      <c r="Q248">
        <f t="shared" si="66"/>
        <v>-4.4834663866585162E-2</v>
      </c>
      <c r="R248">
        <f t="shared" si="60"/>
        <v>-3.098963338209143E-2</v>
      </c>
      <c r="S248">
        <f t="shared" si="61"/>
        <v>1.7672046397354535E-4</v>
      </c>
      <c r="U248" s="15">
        <f t="shared" si="75"/>
        <v>2.4199999999999924</v>
      </c>
      <c r="V248">
        <f t="shared" si="71"/>
        <v>19.994996141123444</v>
      </c>
      <c r="W248">
        <f t="shared" si="62"/>
        <v>5.0038588765559666E-3</v>
      </c>
      <c r="X248">
        <f t="shared" si="67"/>
        <v>5.7500350925867121</v>
      </c>
      <c r="Y248">
        <f t="shared" si="68"/>
        <v>-1.2769294595216252E-2</v>
      </c>
      <c r="Z248">
        <f t="shared" si="63"/>
        <v>1.2451483558249366E-2</v>
      </c>
      <c r="AA248">
        <f t="shared" si="64"/>
        <v>3.00231532593358E-2</v>
      </c>
    </row>
    <row r="249" spans="8:27" x14ac:dyDescent="0.25">
      <c r="H249" s="15">
        <f t="shared" si="73"/>
        <v>2.4299999999999922</v>
      </c>
      <c r="I249" s="9">
        <f t="shared" si="58"/>
        <v>49.776779590802285</v>
      </c>
      <c r="J249">
        <f t="shared" si="69"/>
        <v>49.790024397946432</v>
      </c>
      <c r="K249">
        <f t="shared" si="72"/>
        <v>49.989434277123081</v>
      </c>
      <c r="M249" s="15">
        <f t="shared" si="74"/>
        <v>2.4299999999999922</v>
      </c>
      <c r="N249">
        <f t="shared" si="70"/>
        <v>1.2141587224428452E-2</v>
      </c>
      <c r="O249">
        <f t="shared" si="59"/>
        <v>1.7134477021406282E-2</v>
      </c>
      <c r="P249">
        <f t="shared" si="65"/>
        <v>-6.8008119118836497E-3</v>
      </c>
      <c r="Q249">
        <f t="shared" si="66"/>
        <v>-4.3719267968015188E-2</v>
      </c>
      <c r="R249">
        <f t="shared" si="60"/>
        <v>-3.0217911247931384E-2</v>
      </c>
      <c r="S249">
        <f t="shared" si="61"/>
        <v>1.7229819628583956E-4</v>
      </c>
      <c r="U249" s="15">
        <f t="shared" si="75"/>
        <v>2.4299999999999922</v>
      </c>
      <c r="V249">
        <f t="shared" si="71"/>
        <v>19.995120655959028</v>
      </c>
      <c r="W249">
        <f t="shared" si="62"/>
        <v>4.8793440409724553E-3</v>
      </c>
      <c r="X249">
        <f t="shared" si="67"/>
        <v>5.7500845086012999</v>
      </c>
      <c r="Y249">
        <f t="shared" si="68"/>
        <v>-1.2451483558351129E-2</v>
      </c>
      <c r="Z249">
        <f t="shared" si="63"/>
        <v>1.2141587224428452E-2</v>
      </c>
      <c r="AA249">
        <f t="shared" si="64"/>
        <v>2.9276064245834732E-2</v>
      </c>
    </row>
    <row r="250" spans="8:27" x14ac:dyDescent="0.25">
      <c r="H250" s="15">
        <f t="shared" si="73"/>
        <v>2.439999999999992</v>
      </c>
      <c r="I250" s="9">
        <f t="shared" si="58"/>
        <v>49.781695772282774</v>
      </c>
      <c r="J250">
        <f t="shared" si="69"/>
        <v>49.794700562051837</v>
      </c>
      <c r="K250">
        <f t="shared" si="72"/>
        <v>49.989669576146305</v>
      </c>
      <c r="M250" s="15">
        <f t="shared" si="74"/>
        <v>2.439999999999992</v>
      </c>
      <c r="N250">
        <f t="shared" si="70"/>
        <v>1.1839408111949138E-2</v>
      </c>
      <c r="O250">
        <f t="shared" si="59"/>
        <v>1.6708160900425512E-2</v>
      </c>
      <c r="P250">
        <f t="shared" si="65"/>
        <v>-6.6315987222744909E-3</v>
      </c>
      <c r="Q250">
        <f t="shared" si="66"/>
        <v>-4.2631612098077004E-2</v>
      </c>
      <c r="R250">
        <f t="shared" si="60"/>
        <v>-2.9465441620246263E-2</v>
      </c>
      <c r="S250">
        <f t="shared" si="61"/>
        <v>1.6798793150220315E-4</v>
      </c>
      <c r="U250" s="15">
        <f t="shared" si="75"/>
        <v>2.439999999999992</v>
      </c>
      <c r="V250">
        <f t="shared" si="71"/>
        <v>19.995242071831271</v>
      </c>
      <c r="W250">
        <f t="shared" si="62"/>
        <v>4.7579281687291086E-3</v>
      </c>
      <c r="X250">
        <f t="shared" si="67"/>
        <v>5.7501326949623488</v>
      </c>
      <c r="Y250">
        <f t="shared" si="68"/>
        <v>-1.2141587224334671E-2</v>
      </c>
      <c r="Z250">
        <f t="shared" si="63"/>
        <v>1.1839408111949138E-2</v>
      </c>
      <c r="AA250">
        <f t="shared" si="64"/>
        <v>2.8547569012374652E-2</v>
      </c>
    </row>
    <row r="251" spans="8:27" x14ac:dyDescent="0.25">
      <c r="H251" s="15">
        <f t="shared" si="73"/>
        <v>2.4499999999999917</v>
      </c>
      <c r="I251" s="9">
        <f t="shared" si="58"/>
        <v>49.786503680328771</v>
      </c>
      <c r="J251">
        <f t="shared" si="69"/>
        <v>49.799272587816759</v>
      </c>
      <c r="K251">
        <f t="shared" si="72"/>
        <v>49.989899635051941</v>
      </c>
      <c r="M251" s="15">
        <f t="shared" si="74"/>
        <v>2.4499999999999917</v>
      </c>
      <c r="N251">
        <f t="shared" si="70"/>
        <v>1.1544753695746675E-2</v>
      </c>
      <c r="O251">
        <f t="shared" si="59"/>
        <v>1.6292450829906518E-2</v>
      </c>
      <c r="P251">
        <f t="shared" si="65"/>
        <v>-6.4665956636228306E-3</v>
      </c>
      <c r="Q251">
        <f t="shared" si="66"/>
        <v>-4.1571007051899311E-2</v>
      </c>
      <c r="R251">
        <f t="shared" si="60"/>
        <v>-2.8731741493171929E-2</v>
      </c>
      <c r="S251">
        <f t="shared" si="61"/>
        <v>1.6378672882010753E-4</v>
      </c>
      <c r="U251" s="15">
        <f t="shared" si="75"/>
        <v>2.4499999999999917</v>
      </c>
      <c r="V251">
        <f t="shared" si="71"/>
        <v>19.995360465912391</v>
      </c>
      <c r="W251">
        <f t="shared" si="62"/>
        <v>4.6395340876088653E-3</v>
      </c>
      <c r="X251">
        <f t="shared" si="67"/>
        <v>5.7501796822736306</v>
      </c>
      <c r="Y251">
        <f t="shared" si="68"/>
        <v>-1.183940811202433E-2</v>
      </c>
      <c r="Z251">
        <f t="shared" si="63"/>
        <v>1.1544753695746675E-2</v>
      </c>
      <c r="AA251">
        <f t="shared" si="64"/>
        <v>2.7837204525653192E-2</v>
      </c>
    </row>
    <row r="252" spans="8:27" x14ac:dyDescent="0.25">
      <c r="H252" s="15">
        <f t="shared" si="73"/>
        <v>2.4599999999999915</v>
      </c>
      <c r="I252" s="9">
        <f t="shared" si="58"/>
        <v>49.791205699542388</v>
      </c>
      <c r="J252">
        <f t="shared" si="69"/>
        <v>49.803742794405728</v>
      </c>
      <c r="K252">
        <f t="shared" si="72"/>
        <v>49.990124570537589</v>
      </c>
      <c r="M252" s="15">
        <f t="shared" si="74"/>
        <v>2.4599999999999915</v>
      </c>
      <c r="N252">
        <f t="shared" si="70"/>
        <v>1.1257436280814955E-2</v>
      </c>
      <c r="O252">
        <f t="shared" si="59"/>
        <v>1.5887083023102079E-2</v>
      </c>
      <c r="P252">
        <f t="shared" si="65"/>
        <v>-6.3056979943577878E-3</v>
      </c>
      <c r="Q252">
        <f t="shared" si="66"/>
        <v>-4.0536780680443946E-2</v>
      </c>
      <c r="R252">
        <f t="shared" si="60"/>
        <v>-2.8016340184598344E-2</v>
      </c>
      <c r="S252">
        <f t="shared" si="61"/>
        <v>1.5969173238922219E-4</v>
      </c>
      <c r="U252" s="15">
        <f t="shared" si="75"/>
        <v>2.4599999999999915</v>
      </c>
      <c r="V252">
        <f t="shared" si="71"/>
        <v>19.995475913449347</v>
      </c>
      <c r="W252">
        <f t="shared" si="62"/>
        <v>4.5240865506528394E-3</v>
      </c>
      <c r="X252">
        <f t="shared" si="67"/>
        <v>5.7502255003768221</v>
      </c>
      <c r="Y252">
        <f t="shared" si="68"/>
        <v>-1.1544753695602594E-2</v>
      </c>
      <c r="Z252">
        <f t="shared" si="63"/>
        <v>1.1257436280814955E-2</v>
      </c>
      <c r="AA252">
        <f t="shared" si="64"/>
        <v>2.7144519303917036E-2</v>
      </c>
    </row>
    <row r="253" spans="8:27" x14ac:dyDescent="0.25">
      <c r="H253" s="15">
        <f t="shared" si="73"/>
        <v>2.4699999999999913</v>
      </c>
      <c r="I253" s="9">
        <f t="shared" si="58"/>
        <v>49.795804162007485</v>
      </c>
      <c r="J253">
        <f t="shared" si="69"/>
        <v>49.808113449335409</v>
      </c>
      <c r="K253">
        <f t="shared" si="72"/>
        <v>49.990344496701994</v>
      </c>
      <c r="M253" s="15">
        <f t="shared" si="74"/>
        <v>2.4699999999999913</v>
      </c>
      <c r="N253">
        <f t="shared" si="70"/>
        <v>1.0977272878968972E-2</v>
      </c>
      <c r="O253">
        <f t="shared" si="59"/>
        <v>1.5491800248091511E-2</v>
      </c>
      <c r="P253">
        <f t="shared" si="65"/>
        <v>-6.1488035780018196E-3</v>
      </c>
      <c r="Q253">
        <f t="shared" si="66"/>
        <v>-3.9528277501056815E-2</v>
      </c>
      <c r="R253">
        <f t="shared" si="60"/>
        <v>-2.7318779016064582E-2</v>
      </c>
      <c r="S253">
        <f t="shared" si="61"/>
        <v>1.5570016883664599E-4</v>
      </c>
      <c r="U253" s="15">
        <f t="shared" si="75"/>
        <v>2.4699999999999913</v>
      </c>
      <c r="V253">
        <f t="shared" si="71"/>
        <v>19.995588487812157</v>
      </c>
      <c r="W253">
        <f t="shared" si="62"/>
        <v>4.4115121878434138E-3</v>
      </c>
      <c r="X253">
        <f t="shared" si="67"/>
        <v>5.7502701783705144</v>
      </c>
      <c r="Y253">
        <f t="shared" si="68"/>
        <v>-1.1257436280942557E-2</v>
      </c>
      <c r="Z253">
        <f t="shared" si="63"/>
        <v>1.0977272878968972E-2</v>
      </c>
      <c r="AA253">
        <f t="shared" si="64"/>
        <v>2.6469073127060483E-2</v>
      </c>
    </row>
    <row r="254" spans="8:27" x14ac:dyDescent="0.25">
      <c r="H254" s="15">
        <f t="shared" si="73"/>
        <v>2.4799999999999911</v>
      </c>
      <c r="I254" s="9">
        <f t="shared" si="58"/>
        <v>49.800301348446389</v>
      </c>
      <c r="J254">
        <f t="shared" si="69"/>
        <v>49.81238676962478</v>
      </c>
      <c r="K254">
        <f t="shared" si="72"/>
        <v>49.990559525102917</v>
      </c>
      <c r="M254" s="15">
        <f t="shared" si="74"/>
        <v>2.4799999999999911</v>
      </c>
      <c r="N254">
        <f t="shared" si="70"/>
        <v>1.0704085088808326E-2</v>
      </c>
      <c r="O254">
        <f t="shared" si="59"/>
        <v>1.5106351665504279E-2</v>
      </c>
      <c r="P254">
        <f t="shared" si="65"/>
        <v>-5.9958128184338403E-3</v>
      </c>
      <c r="Q254">
        <f t="shared" si="66"/>
        <v>-3.8544858258723197E-2</v>
      </c>
      <c r="R254">
        <f t="shared" si="60"/>
        <v>-2.6638610980518167E-2</v>
      </c>
      <c r="S254">
        <f t="shared" si="61"/>
        <v>1.5180934374787666E-4</v>
      </c>
      <c r="U254" s="15">
        <f t="shared" si="75"/>
        <v>2.4799999999999911</v>
      </c>
      <c r="V254">
        <f t="shared" si="71"/>
        <v>19.995698260540948</v>
      </c>
      <c r="W254">
        <f t="shared" si="62"/>
        <v>4.3017394590521008E-3</v>
      </c>
      <c r="X254">
        <f t="shared" si="67"/>
        <v>5.7503137446287491</v>
      </c>
      <c r="Y254">
        <f t="shared" si="68"/>
        <v>-1.0977272879131306E-2</v>
      </c>
      <c r="Z254">
        <f t="shared" si="63"/>
        <v>1.0704085088808326E-2</v>
      </c>
      <c r="AA254">
        <f t="shared" si="64"/>
        <v>2.5810436754312605E-2</v>
      </c>
    </row>
    <row r="255" spans="8:27" x14ac:dyDescent="0.25">
      <c r="H255" s="15">
        <f t="shared" si="73"/>
        <v>2.4899999999999909</v>
      </c>
      <c r="I255" s="9">
        <f t="shared" si="58"/>
        <v>49.80469948935103</v>
      </c>
      <c r="J255">
        <f t="shared" si="69"/>
        <v>49.816564922919738</v>
      </c>
      <c r="K255">
        <f t="shared" si="72"/>
        <v>49.99076976481372</v>
      </c>
      <c r="M255" s="15">
        <f t="shared" si="74"/>
        <v>2.4899999999999909</v>
      </c>
      <c r="N255">
        <f t="shared" si="70"/>
        <v>1.0437698979003145E-2</v>
      </c>
      <c r="O255">
        <f t="shared" si="59"/>
        <v>1.4730492669976954E-2</v>
      </c>
      <c r="P255">
        <f t="shared" si="65"/>
        <v>-5.8466285967564337E-3</v>
      </c>
      <c r="Q255">
        <f t="shared" si="66"/>
        <v>-3.7585899552732525E-2</v>
      </c>
      <c r="R255">
        <f t="shared" si="60"/>
        <v>-2.5975400439755002E-2</v>
      </c>
      <c r="S255">
        <f t="shared" si="61"/>
        <v>1.4801663935558838E-4</v>
      </c>
      <c r="U255" s="15">
        <f t="shared" si="75"/>
        <v>2.4899999999999909</v>
      </c>
      <c r="V255">
        <f t="shared" si="71"/>
        <v>19.995805301391837</v>
      </c>
      <c r="W255">
        <f t="shared" si="62"/>
        <v>4.1946986081633497E-3</v>
      </c>
      <c r="X255">
        <f t="shared" si="67"/>
        <v>5.7503562268190853</v>
      </c>
      <c r="Y255">
        <f t="shared" si="68"/>
        <v>-1.0704085088875104E-2</v>
      </c>
      <c r="Z255">
        <f t="shared" si="63"/>
        <v>1.0437698979003145E-2</v>
      </c>
      <c r="AA255">
        <f t="shared" si="64"/>
        <v>2.5168191648980098E-2</v>
      </c>
    </row>
    <row r="256" spans="8:27" x14ac:dyDescent="0.25">
      <c r="H256" s="15">
        <f t="shared" si="73"/>
        <v>2.4999999999999907</v>
      </c>
      <c r="I256" s="9">
        <f t="shared" si="58"/>
        <v>49.80900076608927</v>
      </c>
      <c r="J256">
        <f t="shared" si="69"/>
        <v>49.820650028592617</v>
      </c>
      <c r="K256">
        <f t="shared" si="72"/>
        <v>49.990975322478711</v>
      </c>
      <c r="M256" s="15">
        <f t="shared" si="74"/>
        <v>2.4999999999999907</v>
      </c>
      <c r="N256">
        <f t="shared" si="70"/>
        <v>1.0177944974605595E-2</v>
      </c>
      <c r="O256">
        <f t="shared" si="59"/>
        <v>1.4363984735640229E-2</v>
      </c>
      <c r="P256">
        <f t="shared" si="65"/>
        <v>-5.7011562097283482E-3</v>
      </c>
      <c r="Q256">
        <f t="shared" si="66"/>
        <v>-3.665079343367246E-2</v>
      </c>
      <c r="R256">
        <f t="shared" si="60"/>
        <v>-2.5328722818812488E-2</v>
      </c>
      <c r="S256">
        <f t="shared" si="61"/>
        <v>1.4431951169800727E-4</v>
      </c>
      <c r="U256" s="15">
        <f t="shared" si="75"/>
        <v>2.4999999999999907</v>
      </c>
      <c r="V256">
        <f t="shared" si="71"/>
        <v>19.995909678381626</v>
      </c>
      <c r="W256">
        <f t="shared" si="62"/>
        <v>4.0903216183743041E-3</v>
      </c>
      <c r="X256">
        <f t="shared" si="67"/>
        <v>5.7503976519202178</v>
      </c>
      <c r="Y256">
        <f t="shared" si="68"/>
        <v>-1.0437698978904564E-2</v>
      </c>
      <c r="Z256">
        <f t="shared" si="63"/>
        <v>1.0177944974605595E-2</v>
      </c>
      <c r="AA256">
        <f t="shared" si="64"/>
        <v>2.4541929710245824E-2</v>
      </c>
    </row>
    <row r="257" spans="8:27" x14ac:dyDescent="0.25">
      <c r="H257" s="15">
        <f t="shared" si="73"/>
        <v>2.5099999999999905</v>
      </c>
      <c r="I257" s="9">
        <f t="shared" si="58"/>
        <v>49.813207311986716</v>
      </c>
      <c r="J257">
        <f t="shared" si="69"/>
        <v>49.824644158817264</v>
      </c>
      <c r="K257">
        <f t="shared" si="72"/>
        <v>49.991176302367208</v>
      </c>
      <c r="M257" s="15">
        <f t="shared" si="74"/>
        <v>2.5099999999999905</v>
      </c>
      <c r="N257">
        <f t="shared" si="70"/>
        <v>9.9246577464174712E-3</v>
      </c>
      <c r="O257">
        <f t="shared" si="59"/>
        <v>1.4006595265349768E-2</v>
      </c>
      <c r="P257">
        <f t="shared" si="65"/>
        <v>-5.5593033097233978E-3</v>
      </c>
      <c r="Q257">
        <f t="shared" si="66"/>
        <v>-3.5738947029046071E-2</v>
      </c>
      <c r="R257">
        <f t="shared" si="60"/>
        <v>-2.4698164315112705E-2</v>
      </c>
      <c r="S257">
        <f t="shared" si="61"/>
        <v>1.4071548820791292E-4</v>
      </c>
      <c r="U257" s="15">
        <f t="shared" si="75"/>
        <v>2.5099999999999905</v>
      </c>
      <c r="V257">
        <f t="shared" si="71"/>
        <v>19.996011457831372</v>
      </c>
      <c r="W257">
        <f t="shared" si="62"/>
        <v>3.9885421686278733E-3</v>
      </c>
      <c r="X257">
        <f t="shared" si="67"/>
        <v>5.7504380462391529</v>
      </c>
      <c r="Y257">
        <f t="shared" si="68"/>
        <v>-1.0177944974643083E-2</v>
      </c>
      <c r="Z257">
        <f t="shared" si="63"/>
        <v>9.9246577464174712E-3</v>
      </c>
      <c r="AA257">
        <f t="shared" si="64"/>
        <v>2.393125301176724E-2</v>
      </c>
    </row>
    <row r="258" spans="8:27" x14ac:dyDescent="0.25">
      <c r="H258" s="15">
        <f t="shared" si="73"/>
        <v>2.5199999999999902</v>
      </c>
      <c r="I258" s="9">
        <f t="shared" si="58"/>
        <v>49.817321213384893</v>
      </c>
      <c r="J258">
        <f t="shared" si="69"/>
        <v>49.828549339620139</v>
      </c>
      <c r="K258">
        <f t="shared" si="72"/>
        <v>49.991372806426462</v>
      </c>
      <c r="M258" s="15">
        <f t="shared" si="74"/>
        <v>2.5199999999999902</v>
      </c>
      <c r="N258">
        <f t="shared" si="70"/>
        <v>9.6776761032663448E-3</v>
      </c>
      <c r="O258">
        <f t="shared" si="59"/>
        <v>1.3658097443723113E-2</v>
      </c>
      <c r="P258">
        <f t="shared" si="65"/>
        <v>-5.4209798461780333E-3</v>
      </c>
      <c r="Q258">
        <f t="shared" si="66"/>
        <v>-3.484978216266553E-2</v>
      </c>
      <c r="R258">
        <f t="shared" si="60"/>
        <v>-2.4083321609820654E-2</v>
      </c>
      <c r="S258">
        <f t="shared" si="61"/>
        <v>1.3720216507059554E-4</v>
      </c>
      <c r="U258" s="15">
        <f t="shared" si="75"/>
        <v>2.5199999999999902</v>
      </c>
      <c r="V258">
        <f t="shared" si="71"/>
        <v>19.996110704408835</v>
      </c>
      <c r="W258">
        <f t="shared" si="62"/>
        <v>3.8892955911649096E-3</v>
      </c>
      <c r="X258">
        <f t="shared" si="67"/>
        <v>5.7504774354279515</v>
      </c>
      <c r="Y258">
        <f t="shared" si="68"/>
        <v>-9.9246577462963614E-3</v>
      </c>
      <c r="Z258">
        <f t="shared" si="63"/>
        <v>9.6776761032663448E-3</v>
      </c>
      <c r="AA258">
        <f t="shared" si="64"/>
        <v>2.3335773546989458E-2</v>
      </c>
    </row>
    <row r="259" spans="8:27" x14ac:dyDescent="0.25">
      <c r="H259" s="15">
        <f t="shared" si="73"/>
        <v>2.52999999999999</v>
      </c>
      <c r="I259" s="9">
        <f t="shared" si="58"/>
        <v>49.821344510675949</v>
      </c>
      <c r="J259">
        <f t="shared" si="69"/>
        <v>49.832367551908021</v>
      </c>
      <c r="K259">
        <f t="shared" si="72"/>
        <v>49.991564934333347</v>
      </c>
      <c r="M259" s="15">
        <f t="shared" si="74"/>
        <v>2.52999999999999</v>
      </c>
      <c r="N259">
        <f t="shared" si="70"/>
        <v>9.4368428871681384E-3</v>
      </c>
      <c r="O259">
        <f t="shared" si="59"/>
        <v>1.3318270093621111E-2</v>
      </c>
      <c r="P259">
        <f t="shared" si="65"/>
        <v>-5.2860980084913122E-3</v>
      </c>
      <c r="Q259">
        <f t="shared" si="66"/>
        <v>-3.3982735010200209E-2</v>
      </c>
      <c r="R259">
        <f t="shared" si="60"/>
        <v>-2.348380159918113E-2</v>
      </c>
      <c r="S259">
        <f t="shared" si="61"/>
        <v>1.3377720531634017E-4</v>
      </c>
      <c r="U259" s="15">
        <f t="shared" si="75"/>
        <v>2.52999999999999</v>
      </c>
      <c r="V259">
        <f t="shared" si="71"/>
        <v>19.996207481169868</v>
      </c>
      <c r="W259">
        <f t="shared" si="62"/>
        <v>3.7925188301315416E-3</v>
      </c>
      <c r="X259">
        <f t="shared" si="67"/>
        <v>5.7505158445000584</v>
      </c>
      <c r="Y259">
        <f t="shared" si="68"/>
        <v>-9.6776761033368075E-3</v>
      </c>
      <c r="Z259">
        <f t="shared" si="63"/>
        <v>9.4368428871681384E-3</v>
      </c>
      <c r="AA259">
        <f t="shared" si="64"/>
        <v>2.2755112980789249E-2</v>
      </c>
    </row>
    <row r="260" spans="8:27" x14ac:dyDescent="0.25">
      <c r="H260" s="15">
        <f t="shared" si="73"/>
        <v>2.5399999999999898</v>
      </c>
      <c r="I260" s="9">
        <f t="shared" si="58"/>
        <v>49.825279199314672</v>
      </c>
      <c r="J260">
        <f t="shared" si="69"/>
        <v>49.836100732472822</v>
      </c>
      <c r="K260">
        <f t="shared" si="72"/>
        <v>49.991752783544932</v>
      </c>
      <c r="M260" s="15">
        <f t="shared" si="74"/>
        <v>2.5399999999999898</v>
      </c>
      <c r="N260">
        <f t="shared" si="70"/>
        <v>9.202004871176327E-3</v>
      </c>
      <c r="O260">
        <f t="shared" si="59"/>
        <v>1.2986897536380227E-2</v>
      </c>
      <c r="P260">
        <f t="shared" si="65"/>
        <v>-5.1545721703413058E-3</v>
      </c>
      <c r="Q260">
        <f t="shared" si="66"/>
        <v>-3.3137255724088356E-2</v>
      </c>
      <c r="R260">
        <f t="shared" si="60"/>
        <v>-2.2899221118446368E-2</v>
      </c>
      <c r="S260">
        <f t="shared" si="61"/>
        <v>1.3043833618695856E-4</v>
      </c>
      <c r="U260" s="15">
        <f t="shared" si="75"/>
        <v>2.5399999999999898</v>
      </c>
      <c r="V260">
        <f t="shared" si="71"/>
        <v>19.996301849598741</v>
      </c>
      <c r="W260">
        <f t="shared" si="62"/>
        <v>3.6981504012594257E-3</v>
      </c>
      <c r="X260">
        <f t="shared" si="67"/>
        <v>5.7505532978462153</v>
      </c>
      <c r="Y260">
        <f t="shared" si="68"/>
        <v>-9.4368428872115828E-3</v>
      </c>
      <c r="Z260">
        <f t="shared" si="63"/>
        <v>9.202004871176327E-3</v>
      </c>
      <c r="AA260">
        <f t="shared" si="64"/>
        <v>2.2188902407556554E-2</v>
      </c>
    </row>
    <row r="261" spans="8:27" x14ac:dyDescent="0.25">
      <c r="H261" s="15">
        <f t="shared" si="73"/>
        <v>2.5499999999999896</v>
      </c>
      <c r="I261" s="9">
        <f t="shared" si="58"/>
        <v>49.829127230808169</v>
      </c>
      <c r="J261">
        <f t="shared" si="69"/>
        <v>49.839750774974036</v>
      </c>
      <c r="K261">
        <f t="shared" si="72"/>
        <v>49.991936449347911</v>
      </c>
      <c r="M261" s="15">
        <f t="shared" si="74"/>
        <v>2.5499999999999896</v>
      </c>
      <c r="N261">
        <f t="shared" si="70"/>
        <v>8.9730126599918639E-3</v>
      </c>
      <c r="O261">
        <f t="shared" si="59"/>
        <v>1.2663769455295326E-2</v>
      </c>
      <c r="P261">
        <f t="shared" si="65"/>
        <v>-5.0263188353829279E-3</v>
      </c>
      <c r="Q261">
        <f t="shared" si="66"/>
        <v>-3.231280810849016E-2</v>
      </c>
      <c r="R261">
        <f t="shared" si="60"/>
        <v>-2.2329206688676197E-2</v>
      </c>
      <c r="S261">
        <f t="shared" si="61"/>
        <v>1.2718334740888931E-4</v>
      </c>
      <c r="U261" s="15">
        <f t="shared" si="75"/>
        <v>2.5499999999999896</v>
      </c>
      <c r="V261">
        <f t="shared" si="71"/>
        <v>19.996393869647452</v>
      </c>
      <c r="W261">
        <f t="shared" si="62"/>
        <v>3.606130352547865E-3</v>
      </c>
      <c r="X261">
        <f t="shared" si="67"/>
        <v>5.750589819249984</v>
      </c>
      <c r="Y261">
        <f t="shared" si="68"/>
        <v>-9.2020048711560776E-3</v>
      </c>
      <c r="Z261">
        <f t="shared" si="63"/>
        <v>8.9730126599918639E-3</v>
      </c>
      <c r="AA261">
        <f t="shared" si="64"/>
        <v>2.163678211528719E-2</v>
      </c>
    </row>
    <row r="262" spans="8:27" x14ac:dyDescent="0.25">
      <c r="H262" s="15">
        <f t="shared" si="73"/>
        <v>2.5599999999999894</v>
      </c>
      <c r="I262" s="9">
        <f t="shared" si="58"/>
        <v>49.832890513683765</v>
      </c>
      <c r="J262">
        <f t="shared" si="69"/>
        <v>49.843319530899279</v>
      </c>
      <c r="K262">
        <f t="shared" si="72"/>
        <v>49.992116024906942</v>
      </c>
      <c r="M262" s="15">
        <f t="shared" si="74"/>
        <v>2.5599999999999894</v>
      </c>
      <c r="N262">
        <f t="shared" si="70"/>
        <v>8.7497205931051023E-3</v>
      </c>
      <c r="O262">
        <f t="shared" si="59"/>
        <v>1.2348680762581644E-2</v>
      </c>
      <c r="P262">
        <f t="shared" si="65"/>
        <v>-4.9012565842935429E-3</v>
      </c>
      <c r="Q262">
        <f t="shared" si="66"/>
        <v>-3.1508869271368138E-2</v>
      </c>
      <c r="R262">
        <f t="shared" si="60"/>
        <v>-2.1773394260908709E-2</v>
      </c>
      <c r="S262">
        <f t="shared" si="61"/>
        <v>1.2401008901810791E-4</v>
      </c>
      <c r="U262" s="15">
        <f t="shared" si="75"/>
        <v>2.5599999999999894</v>
      </c>
      <c r="V262">
        <f t="shared" si="71"/>
        <v>19.996483599774052</v>
      </c>
      <c r="W262">
        <f t="shared" si="62"/>
        <v>3.5164002259477911E-3</v>
      </c>
      <c r="X262">
        <f t="shared" si="67"/>
        <v>5.7506254319028764</v>
      </c>
      <c r="Y262">
        <f t="shared" si="68"/>
        <v>-8.9730126600073845E-3</v>
      </c>
      <c r="Z262">
        <f t="shared" si="63"/>
        <v>8.7497205931051023E-3</v>
      </c>
      <c r="AA262">
        <f t="shared" si="64"/>
        <v>2.1098401355686747E-2</v>
      </c>
    </row>
    <row r="263" spans="8:27" x14ac:dyDescent="0.25">
      <c r="H263" s="15">
        <f t="shared" si="73"/>
        <v>2.5699999999999892</v>
      </c>
      <c r="I263" s="9">
        <f t="shared" ref="I263:I306" si="76">DEGREES(-2*$E$5/$C$6*$C$9/$C$8*$C$18*(1-EXP(-$C$20*H263)))</f>
        <v>49.836570914435626</v>
      </c>
      <c r="J263">
        <f t="shared" si="69"/>
        <v>49.846808810503489</v>
      </c>
      <c r="K263">
        <f t="shared" si="72"/>
        <v>49.992291601311905</v>
      </c>
      <c r="M263" s="15">
        <f t="shared" si="74"/>
        <v>2.5699999999999892</v>
      </c>
      <c r="N263">
        <f t="shared" si="70"/>
        <v>8.5319866504960148E-3</v>
      </c>
      <c r="O263">
        <f t="shared" ref="O263:O306" si="77">AA263-N263</f>
        <v>1.2041431469597819E-2</v>
      </c>
      <c r="P263">
        <f t="shared" si="65"/>
        <v>-4.7793060231326456E-3</v>
      </c>
      <c r="Q263">
        <f t="shared" si="66"/>
        <v>-3.0724929298382546E-2</v>
      </c>
      <c r="R263">
        <f t="shared" ref="R263:R306" si="78">DEGREES($E$6*$C$5*$C$6^2*$E$5/(4*$C$7)*$C$8*RADIANS(N263)+$E$6*$C$5*$C$6*$E$5^2/(2*$C$7)*$C$9*RADIANS(S263))</f>
        <v>-2.1231428970942504E-2</v>
      </c>
      <c r="S263">
        <f t="shared" ref="S263:S306" si="79">MAX(MIN($C$34*O263+$C$35*P263+$C$36*Q263,21.5),-21.5)</f>
        <v>1.2091646945141567E-4</v>
      </c>
      <c r="U263" s="15">
        <f t="shared" si="75"/>
        <v>2.5699999999999892</v>
      </c>
      <c r="V263">
        <f t="shared" si="71"/>
        <v>19.996571096979984</v>
      </c>
      <c r="W263">
        <f t="shared" ref="W263:W306" si="80">$E$9-V263</f>
        <v>3.428903020015639E-3</v>
      </c>
      <c r="X263">
        <f t="shared" si="67"/>
        <v>5.7506601584191062</v>
      </c>
      <c r="Y263">
        <f t="shared" si="68"/>
        <v>-8.7497205932152156E-3</v>
      </c>
      <c r="Z263">
        <f t="shared" ref="Z263:Z306" si="81">N263</f>
        <v>8.5319866504960148E-3</v>
      </c>
      <c r="AA263">
        <f t="shared" ref="AA263:AA306" si="82">$C$39*W263+$C$40*X263+$C$41*Y263</f>
        <v>2.0573418120093834E-2</v>
      </c>
    </row>
    <row r="264" spans="8:27" x14ac:dyDescent="0.25">
      <c r="H264" s="15">
        <f t="shared" si="73"/>
        <v>2.579999999999989</v>
      </c>
      <c r="I264" s="9">
        <f t="shared" si="76"/>
        <v>49.840170258450414</v>
      </c>
      <c r="J264">
        <f t="shared" si="69"/>
        <v>49.850220383727155</v>
      </c>
      <c r="K264">
        <f t="shared" si="72"/>
        <v>49.992463267624103</v>
      </c>
      <c r="M264" s="15">
        <f t="shared" si="74"/>
        <v>2.579999999999989</v>
      </c>
      <c r="N264">
        <f t="shared" si="70"/>
        <v>8.31967236078659E-3</v>
      </c>
      <c r="O264">
        <f t="shared" si="77"/>
        <v>1.1741826560286861E-2</v>
      </c>
      <c r="P264">
        <f t="shared" ref="P264:P306" si="83">IF(ABS(S263)&gt;21, P263, P263+(O264+O263)*$E$8/2)</f>
        <v>-4.6603897329832219E-3</v>
      </c>
      <c r="Q264">
        <f t="shared" ref="Q264:Q306" si="84">(O264-O263)/$E$8</f>
        <v>-2.9960490931095832E-2</v>
      </c>
      <c r="R264">
        <f t="shared" si="78"/>
        <v>-2.0702964899867983E-2</v>
      </c>
      <c r="S264">
        <f t="shared" si="79"/>
        <v>1.1790045365334817E-4</v>
      </c>
      <c r="U264" s="15">
        <f t="shared" si="75"/>
        <v>2.579999999999989</v>
      </c>
      <c r="V264">
        <f t="shared" si="71"/>
        <v>19.996656416846488</v>
      </c>
      <c r="W264">
        <f t="shared" si="80"/>
        <v>3.3435831535122418E-3</v>
      </c>
      <c r="X264">
        <f t="shared" ref="X264:X305" si="85">X263+(W264+W263)*$E$8/2</f>
        <v>5.7506940208499735</v>
      </c>
      <c r="Y264">
        <f t="shared" ref="Y264:Y306" si="86">(W264-W263)/$E$8</f>
        <v>-8.5319866503397179E-3</v>
      </c>
      <c r="Z264">
        <f t="shared" si="81"/>
        <v>8.31967236078659E-3</v>
      </c>
      <c r="AA264">
        <f t="shared" si="82"/>
        <v>2.0061498921073451E-2</v>
      </c>
    </row>
    <row r="265" spans="8:27" x14ac:dyDescent="0.25">
      <c r="H265" s="15">
        <f t="shared" si="73"/>
        <v>2.5899999999999888</v>
      </c>
      <c r="I265" s="9">
        <f t="shared" si="76"/>
        <v>49.843690330912693</v>
      </c>
      <c r="J265">
        <f t="shared" ref="J265:J306" si="87">J264+$E$8*DEGREES($E$6*$C$5*$C$6^2*$E$5/(4*$C$7)*$C$8*RADIANS(J264) +$E$6*$C$5*$C$6*$E$5^2/(2*$C$7)*$C$9*$C$18)</f>
        <v>49.853555981094118</v>
      </c>
      <c r="K265">
        <f t="shared" si="72"/>
        <v>49.992631110921437</v>
      </c>
      <c r="M265" s="15">
        <f t="shared" si="74"/>
        <v>2.5899999999999888</v>
      </c>
      <c r="N265">
        <f t="shared" ref="N265:N306" si="88">N264+$E$8*R264</f>
        <v>8.1126427117879096E-3</v>
      </c>
      <c r="O265">
        <f t="shared" si="77"/>
        <v>1.1449675867636788E-2</v>
      </c>
      <c r="P265">
        <f t="shared" si="83"/>
        <v>-4.544432220843604E-3</v>
      </c>
      <c r="Q265">
        <f t="shared" si="84"/>
        <v>-2.9215069265007242E-2</v>
      </c>
      <c r="R265">
        <f t="shared" si="78"/>
        <v>-2.01876648475218E-2</v>
      </c>
      <c r="S265">
        <f t="shared" si="79"/>
        <v>1.149600615945167E-4</v>
      </c>
      <c r="U265" s="15">
        <f t="shared" si="75"/>
        <v>2.5899999999999888</v>
      </c>
      <c r="V265">
        <f t="shared" ref="V265:V306" si="89">V264+$E$8*Z264</f>
        <v>19.996739613570096</v>
      </c>
      <c r="W265">
        <f t="shared" si="80"/>
        <v>3.2603864299041163E-3</v>
      </c>
      <c r="X265">
        <f t="shared" si="85"/>
        <v>5.7507270406978908</v>
      </c>
      <c r="Y265">
        <f t="shared" si="86"/>
        <v>-8.3196723608125467E-3</v>
      </c>
      <c r="Z265">
        <f t="shared" si="81"/>
        <v>8.1126427117879096E-3</v>
      </c>
      <c r="AA265">
        <f t="shared" si="82"/>
        <v>1.9562318579424698E-2</v>
      </c>
    </row>
    <row r="266" spans="8:27" x14ac:dyDescent="0.25">
      <c r="H266" s="15">
        <f t="shared" si="73"/>
        <v>2.5999999999999885</v>
      </c>
      <c r="I266" s="9">
        <f t="shared" si="76"/>
        <v>49.847132877690328</v>
      </c>
      <c r="J266">
        <f t="shared" si="87"/>
        <v>49.856817294589412</v>
      </c>
      <c r="K266">
        <f t="shared" si="72"/>
        <v>49.992795216342586</v>
      </c>
      <c r="M266" s="15">
        <f t="shared" si="74"/>
        <v>2.5999999999999885</v>
      </c>
      <c r="N266">
        <f t="shared" si="88"/>
        <v>7.9107660633126915E-3</v>
      </c>
      <c r="O266">
        <f t="shared" si="77"/>
        <v>1.1164793953396712E-2</v>
      </c>
      <c r="P266">
        <f t="shared" si="83"/>
        <v>-4.4313598717384368E-3</v>
      </c>
      <c r="Q266">
        <f t="shared" si="84"/>
        <v>-2.8488191424007672E-2</v>
      </c>
      <c r="R266">
        <f t="shared" si="78"/>
        <v>-1.9685200098974807E-2</v>
      </c>
      <c r="S266">
        <f t="shared" si="79"/>
        <v>1.1209336613883861E-4</v>
      </c>
      <c r="U266" s="15">
        <f t="shared" si="75"/>
        <v>2.5999999999999885</v>
      </c>
      <c r="V266">
        <f t="shared" si="89"/>
        <v>19.996820739997215</v>
      </c>
      <c r="W266">
        <f t="shared" si="80"/>
        <v>3.1792600027849005E-3</v>
      </c>
      <c r="X266">
        <f t="shared" si="85"/>
        <v>5.7507592389300539</v>
      </c>
      <c r="Y266">
        <f t="shared" si="86"/>
        <v>-8.1126427119215805E-3</v>
      </c>
      <c r="Z266">
        <f t="shared" si="81"/>
        <v>7.9107660633126915E-3</v>
      </c>
      <c r="AA266">
        <f t="shared" si="82"/>
        <v>1.9075560016709403E-2</v>
      </c>
    </row>
    <row r="267" spans="8:27" x14ac:dyDescent="0.25">
      <c r="H267" s="15">
        <f t="shared" si="73"/>
        <v>2.6099999999999883</v>
      </c>
      <c r="I267" s="9">
        <f t="shared" si="76"/>
        <v>49.850499606200387</v>
      </c>
      <c r="J267">
        <f t="shared" si="87"/>
        <v>49.860005978517485</v>
      </c>
      <c r="K267">
        <f t="shared" si="72"/>
        <v>49.992955667130182</v>
      </c>
      <c r="M267" s="15">
        <f t="shared" si="74"/>
        <v>2.6099999999999883</v>
      </c>
      <c r="N267">
        <f t="shared" si="88"/>
        <v>7.7139140623229433E-3</v>
      </c>
      <c r="O267">
        <f t="shared" si="77"/>
        <v>1.0886999990595028E-2</v>
      </c>
      <c r="P267">
        <f t="shared" si="83"/>
        <v>-4.3211009020184777E-3</v>
      </c>
      <c r="Q267">
        <f t="shared" si="84"/>
        <v>-2.77793962801684E-2</v>
      </c>
      <c r="R267">
        <f t="shared" si="78"/>
        <v>-1.9195250210854119E-2</v>
      </c>
      <c r="S267">
        <f t="shared" si="79"/>
        <v>1.0929849170401851E-4</v>
      </c>
      <c r="U267" s="15">
        <f t="shared" si="75"/>
        <v>2.6099999999999883</v>
      </c>
      <c r="V267">
        <f t="shared" si="89"/>
        <v>19.996899847657847</v>
      </c>
      <c r="W267">
        <f t="shared" si="80"/>
        <v>3.1001523421529953E-3</v>
      </c>
      <c r="X267">
        <f t="shared" si="85"/>
        <v>5.7507906359917786</v>
      </c>
      <c r="Y267">
        <f t="shared" si="86"/>
        <v>-7.9107660631905219E-3</v>
      </c>
      <c r="Z267">
        <f t="shared" si="81"/>
        <v>7.7139140623229433E-3</v>
      </c>
      <c r="AA267">
        <f t="shared" si="82"/>
        <v>1.8600914052917972E-2</v>
      </c>
    </row>
    <row r="268" spans="8:27" x14ac:dyDescent="0.25">
      <c r="H268" s="15">
        <f t="shared" si="73"/>
        <v>2.6199999999999881</v>
      </c>
      <c r="I268" s="9">
        <f t="shared" si="76"/>
        <v>49.853792186255973</v>
      </c>
      <c r="J268">
        <f t="shared" si="87"/>
        <v>49.863123650341379</v>
      </c>
      <c r="K268">
        <f t="shared" si="72"/>
        <v>49.993112544673053</v>
      </c>
      <c r="M268" s="15">
        <f t="shared" si="74"/>
        <v>2.6199999999999881</v>
      </c>
      <c r="N268">
        <f t="shared" si="88"/>
        <v>7.5219615602144024E-3</v>
      </c>
      <c r="O268">
        <f t="shared" si="77"/>
        <v>1.0616117648972793E-2</v>
      </c>
      <c r="P268">
        <f t="shared" si="83"/>
        <v>-4.2135853138206385E-3</v>
      </c>
      <c r="Q268">
        <f t="shared" si="84"/>
        <v>-2.7088234162223404E-2</v>
      </c>
      <c r="R268">
        <f t="shared" si="78"/>
        <v>-1.8717502799800792E-2</v>
      </c>
      <c r="S268">
        <f t="shared" si="79"/>
        <v>1.0657361277983946E-4</v>
      </c>
      <c r="U268" s="15">
        <f t="shared" si="75"/>
        <v>2.6199999999999881</v>
      </c>
      <c r="V268">
        <f t="shared" si="89"/>
        <v>19.996976986798469</v>
      </c>
      <c r="W268">
        <f t="shared" si="80"/>
        <v>3.0230132015311995E-3</v>
      </c>
      <c r="X268">
        <f t="shared" si="85"/>
        <v>5.750821251819497</v>
      </c>
      <c r="Y268">
        <f t="shared" si="86"/>
        <v>-7.7139140621795832E-3</v>
      </c>
      <c r="Z268">
        <f t="shared" si="81"/>
        <v>7.5219615602144024E-3</v>
      </c>
      <c r="AA268">
        <f t="shared" si="82"/>
        <v>1.8138079209187197E-2</v>
      </c>
    </row>
    <row r="269" spans="8:27" x14ac:dyDescent="0.25">
      <c r="H269" s="15">
        <f t="shared" si="73"/>
        <v>2.6299999999999879</v>
      </c>
      <c r="I269" s="9">
        <f t="shared" si="76"/>
        <v>49.857012250894378</v>
      </c>
      <c r="J269">
        <f t="shared" si="87"/>
        <v>49.866171891503178</v>
      </c>
      <c r="K269">
        <f t="shared" si="72"/>
        <v>49.99326592854748</v>
      </c>
      <c r="M269" s="15">
        <f t="shared" si="74"/>
        <v>2.6299999999999879</v>
      </c>
      <c r="N269">
        <f t="shared" si="88"/>
        <v>7.3347865322163945E-3</v>
      </c>
      <c r="O269">
        <f t="shared" si="77"/>
        <v>1.0351974983353631E-2</v>
      </c>
      <c r="P269">
        <f t="shared" si="83"/>
        <v>-4.108744850659006E-3</v>
      </c>
      <c r="Q269">
        <f t="shared" si="84"/>
        <v>-2.6414266561916241E-2</v>
      </c>
      <c r="R269">
        <f t="shared" si="78"/>
        <v>-1.8251653331219704E-2</v>
      </c>
      <c r="S269">
        <f t="shared" si="79"/>
        <v>1.039169522069304E-4</v>
      </c>
      <c r="U269" s="15">
        <f t="shared" si="75"/>
        <v>2.6299999999999879</v>
      </c>
      <c r="V269">
        <f t="shared" si="89"/>
        <v>19.997052206414072</v>
      </c>
      <c r="W269">
        <f t="shared" si="80"/>
        <v>2.9477935859283377E-3</v>
      </c>
      <c r="X269">
        <f t="shared" si="85"/>
        <v>5.7508511058534344</v>
      </c>
      <c r="Y269">
        <f t="shared" si="86"/>
        <v>-7.5219615602861722E-3</v>
      </c>
      <c r="Z269">
        <f t="shared" si="81"/>
        <v>7.3347865322163945E-3</v>
      </c>
      <c r="AA269">
        <f t="shared" si="82"/>
        <v>1.7686761515570026E-2</v>
      </c>
    </row>
    <row r="270" spans="8:27" x14ac:dyDescent="0.25">
      <c r="H270" s="15">
        <f t="shared" si="73"/>
        <v>2.6399999999999877</v>
      </c>
      <c r="I270" s="9">
        <f t="shared" si="76"/>
        <v>49.86016139718712</v>
      </c>
      <c r="J270">
        <f t="shared" si="87"/>
        <v>49.869152248226186</v>
      </c>
      <c r="K270">
        <f t="shared" si="72"/>
        <v>49.993415896557579</v>
      </c>
      <c r="M270" s="15">
        <f t="shared" si="74"/>
        <v>2.6399999999999877</v>
      </c>
      <c r="N270">
        <f t="shared" si="88"/>
        <v>7.1522699989041974E-3</v>
      </c>
      <c r="O270">
        <f t="shared" si="77"/>
        <v>1.0094404324739931E-2</v>
      </c>
      <c r="P270">
        <f t="shared" si="83"/>
        <v>-4.0065129541185379E-3</v>
      </c>
      <c r="Q270">
        <f t="shared" si="84"/>
        <v>-2.575706586137004E-2</v>
      </c>
      <c r="R270">
        <f t="shared" si="78"/>
        <v>-1.7797404917733406E-2</v>
      </c>
      <c r="S270">
        <f t="shared" si="79"/>
        <v>1.0132677972652868E-4</v>
      </c>
      <c r="U270" s="15">
        <f t="shared" si="75"/>
        <v>2.6399999999999877</v>
      </c>
      <c r="V270">
        <f t="shared" si="89"/>
        <v>19.997125554279393</v>
      </c>
      <c r="W270">
        <f t="shared" si="80"/>
        <v>2.8744457206073548E-3</v>
      </c>
      <c r="X270">
        <f t="shared" si="85"/>
        <v>5.7508802170499669</v>
      </c>
      <c r="Y270">
        <f t="shared" si="86"/>
        <v>-7.3347865320982919E-3</v>
      </c>
      <c r="Z270">
        <f t="shared" si="81"/>
        <v>7.1522699989041974E-3</v>
      </c>
      <c r="AA270">
        <f t="shared" si="82"/>
        <v>1.7246674323644129E-2</v>
      </c>
    </row>
    <row r="271" spans="8:27" x14ac:dyDescent="0.25">
      <c r="H271" s="15">
        <f t="shared" si="73"/>
        <v>2.6499999999999875</v>
      </c>
      <c r="I271" s="9">
        <f t="shared" si="76"/>
        <v>49.863241187031939</v>
      </c>
      <c r="J271">
        <f t="shared" si="87"/>
        <v>49.872066232299261</v>
      </c>
      <c r="K271">
        <f t="shared" si="72"/>
        <v>49.993562524774774</v>
      </c>
      <c r="M271" s="15">
        <f t="shared" si="74"/>
        <v>2.6499999999999875</v>
      </c>
      <c r="N271">
        <f t="shared" si="88"/>
        <v>6.9742959497268633E-3</v>
      </c>
      <c r="O271">
        <f t="shared" si="77"/>
        <v>9.8432421739765939E-3</v>
      </c>
      <c r="P271">
        <f t="shared" si="83"/>
        <v>-3.9068247216249557E-3</v>
      </c>
      <c r="Q271">
        <f t="shared" si="84"/>
        <v>-2.511621507633368E-2</v>
      </c>
      <c r="R271">
        <f t="shared" si="78"/>
        <v>-1.7354468129589996E-2</v>
      </c>
      <c r="S271">
        <f t="shared" si="79"/>
        <v>9.8801410934929237E-5</v>
      </c>
      <c r="U271" s="15">
        <f t="shared" si="75"/>
        <v>2.6499999999999875</v>
      </c>
      <c r="V271">
        <f t="shared" si="89"/>
        <v>19.997197076979383</v>
      </c>
      <c r="W271">
        <f t="shared" si="80"/>
        <v>2.8029230206172429E-3</v>
      </c>
      <c r="X271">
        <f t="shared" si="85"/>
        <v>5.7509086038936728</v>
      </c>
      <c r="Y271">
        <f t="shared" si="86"/>
        <v>-7.152269999011196E-3</v>
      </c>
      <c r="Z271">
        <f t="shared" si="81"/>
        <v>6.9742959497268633E-3</v>
      </c>
      <c r="AA271">
        <f t="shared" si="82"/>
        <v>1.6817538123703457E-2</v>
      </c>
    </row>
    <row r="272" spans="8:27" x14ac:dyDescent="0.25">
      <c r="H272" s="15">
        <f t="shared" si="73"/>
        <v>2.6599999999999873</v>
      </c>
      <c r="I272" s="9">
        <f t="shared" si="76"/>
        <v>49.866253147927559</v>
      </c>
      <c r="J272">
        <f t="shared" si="87"/>
        <v>49.874915321843673</v>
      </c>
      <c r="K272">
        <f t="shared" si="72"/>
        <v>49.993705887576368</v>
      </c>
      <c r="M272" s="15">
        <f t="shared" si="74"/>
        <v>2.6599999999999873</v>
      </c>
      <c r="N272">
        <f t="shared" si="88"/>
        <v>6.8007512684309631E-3</v>
      </c>
      <c r="O272">
        <f t="shared" si="77"/>
        <v>9.5983290982936988E-3</v>
      </c>
      <c r="P272">
        <f t="shared" si="83"/>
        <v>-3.8096168652636043E-3</v>
      </c>
      <c r="Q272">
        <f t="shared" si="84"/>
        <v>-2.449130756828951E-2</v>
      </c>
      <c r="R272">
        <f t="shared" si="78"/>
        <v>-1.692256079408443E-2</v>
      </c>
      <c r="S272">
        <f t="shared" si="79"/>
        <v>9.6339205413518633E-5</v>
      </c>
      <c r="U272" s="15">
        <f t="shared" si="75"/>
        <v>2.6599999999999873</v>
      </c>
      <c r="V272">
        <f t="shared" si="89"/>
        <v>19.997266819938879</v>
      </c>
      <c r="W272">
        <f t="shared" si="80"/>
        <v>2.7331800611207768E-3</v>
      </c>
      <c r="X272">
        <f t="shared" si="85"/>
        <v>5.7509362844090814</v>
      </c>
      <c r="Y272">
        <f t="shared" si="86"/>
        <v>-6.9742959496466028E-3</v>
      </c>
      <c r="Z272">
        <f t="shared" si="81"/>
        <v>6.8007512684309631E-3</v>
      </c>
      <c r="AA272">
        <f t="shared" si="82"/>
        <v>1.6399080366724661E-2</v>
      </c>
    </row>
    <row r="273" spans="8:27" x14ac:dyDescent="0.25">
      <c r="H273" s="15">
        <f t="shared" si="73"/>
        <v>2.6699999999999871</v>
      </c>
      <c r="I273" s="9">
        <f t="shared" si="76"/>
        <v>49.869198773731192</v>
      </c>
      <c r="J273">
        <f t="shared" si="87"/>
        <v>49.877700962062875</v>
      </c>
      <c r="K273">
        <f t="shared" si="72"/>
        <v>49.993846057683292</v>
      </c>
      <c r="M273" s="15">
        <f t="shared" si="74"/>
        <v>2.6699999999999871</v>
      </c>
      <c r="N273">
        <f t="shared" si="88"/>
        <v>6.6315256604901184E-3</v>
      </c>
      <c r="O273">
        <f t="shared" si="77"/>
        <v>9.3595096301279535E-3</v>
      </c>
      <c r="P273">
        <f t="shared" si="83"/>
        <v>-3.7148276716214958E-3</v>
      </c>
      <c r="Q273">
        <f t="shared" si="84"/>
        <v>-2.3881946816574524E-2</v>
      </c>
      <c r="R273">
        <f t="shared" si="78"/>
        <v>-1.6501407820818877E-2</v>
      </c>
      <c r="S273">
        <f t="shared" si="79"/>
        <v>9.3938566017316358E-5</v>
      </c>
      <c r="U273" s="15">
        <f t="shared" si="75"/>
        <v>2.6699999999999871</v>
      </c>
      <c r="V273">
        <f t="shared" si="89"/>
        <v>19.997334827451564</v>
      </c>
      <c r="W273">
        <f t="shared" si="80"/>
        <v>2.6651725484363453E-3</v>
      </c>
      <c r="X273">
        <f t="shared" si="85"/>
        <v>5.7509632761721292</v>
      </c>
      <c r="Y273">
        <f t="shared" si="86"/>
        <v>-6.8007512684431504E-3</v>
      </c>
      <c r="Z273">
        <f t="shared" si="81"/>
        <v>6.6315256604901184E-3</v>
      </c>
      <c r="AA273">
        <f t="shared" si="82"/>
        <v>1.5991035290618072E-2</v>
      </c>
    </row>
    <row r="274" spans="8:27" x14ac:dyDescent="0.25">
      <c r="H274" s="15">
        <f t="shared" si="73"/>
        <v>2.6799999999999868</v>
      </c>
      <c r="I274" s="9">
        <f t="shared" si="76"/>
        <v>49.872079525399549</v>
      </c>
      <c r="J274">
        <f t="shared" si="87"/>
        <v>49.880424565975588</v>
      </c>
      <c r="K274">
        <f t="shared" si="72"/>
        <v>49.993983106196964</v>
      </c>
      <c r="M274" s="15">
        <f t="shared" si="74"/>
        <v>2.6799999999999868</v>
      </c>
      <c r="N274">
        <f t="shared" si="88"/>
        <v>6.4665115822819296E-3</v>
      </c>
      <c r="O274">
        <f t="shared" si="77"/>
        <v>9.1266321687158113E-3</v>
      </c>
      <c r="P274">
        <f t="shared" si="83"/>
        <v>-3.6223969626272769E-3</v>
      </c>
      <c r="Q274">
        <f t="shared" si="84"/>
        <v>-2.3287746141214226E-2</v>
      </c>
      <c r="R274">
        <f t="shared" si="78"/>
        <v>-1.6090741011546648E-2</v>
      </c>
      <c r="S274">
        <f t="shared" si="79"/>
        <v>9.1597937116905462E-5</v>
      </c>
      <c r="U274" s="15">
        <f t="shared" si="75"/>
        <v>2.6799999999999868</v>
      </c>
      <c r="V274">
        <f t="shared" si="89"/>
        <v>19.997401142708167</v>
      </c>
      <c r="W274">
        <f t="shared" si="80"/>
        <v>2.5988572918329567E-3</v>
      </c>
      <c r="X274">
        <f t="shared" si="85"/>
        <v>5.7509895963213307</v>
      </c>
      <c r="Y274">
        <f t="shared" si="86"/>
        <v>-6.6315256603388661E-3</v>
      </c>
      <c r="Z274">
        <f t="shared" si="81"/>
        <v>6.4665115822819296E-3</v>
      </c>
      <c r="AA274">
        <f t="shared" si="82"/>
        <v>1.559314375099774E-2</v>
      </c>
    </row>
    <row r="275" spans="8:27" x14ac:dyDescent="0.25">
      <c r="H275" s="15">
        <f t="shared" si="73"/>
        <v>2.6899999999999866</v>
      </c>
      <c r="I275" s="9">
        <f t="shared" si="76"/>
        <v>49.874896831713365</v>
      </c>
      <c r="J275">
        <f t="shared" si="87"/>
        <v>49.883087515132559</v>
      </c>
      <c r="K275">
        <f t="shared" si="72"/>
        <v>49.994117102635371</v>
      </c>
      <c r="M275" s="15">
        <f t="shared" si="74"/>
        <v>2.6899999999999866</v>
      </c>
      <c r="N275">
        <f t="shared" si="88"/>
        <v>6.3056041721664628E-3</v>
      </c>
      <c r="O275">
        <f t="shared" si="77"/>
        <v>8.8995488838990496E-3</v>
      </c>
      <c r="P275">
        <f t="shared" si="83"/>
        <v>-3.5322660573642024E-3</v>
      </c>
      <c r="Q275">
        <f t="shared" si="84"/>
        <v>-2.2708328481676164E-2</v>
      </c>
      <c r="R275">
        <f t="shared" si="78"/>
        <v>-1.569029889268617E-2</v>
      </c>
      <c r="S275">
        <f t="shared" si="79"/>
        <v>8.9315803839673177E-5</v>
      </c>
      <c r="U275" s="15">
        <f t="shared" si="75"/>
        <v>2.6899999999999866</v>
      </c>
      <c r="V275">
        <f t="shared" si="89"/>
        <v>19.997465807823989</v>
      </c>
      <c r="W275">
        <f t="shared" si="80"/>
        <v>2.5341921760109187E-3</v>
      </c>
      <c r="X275">
        <f t="shared" si="85"/>
        <v>5.7510152615686696</v>
      </c>
      <c r="Y275">
        <f t="shared" si="86"/>
        <v>-6.4665115822037933E-3</v>
      </c>
      <c r="Z275">
        <f t="shared" si="81"/>
        <v>6.3056041721664628E-3</v>
      </c>
      <c r="AA275">
        <f t="shared" si="82"/>
        <v>1.5205153056065512E-2</v>
      </c>
    </row>
    <row r="276" spans="8:27" x14ac:dyDescent="0.25">
      <c r="H276" s="15">
        <f t="shared" si="73"/>
        <v>2.6999999999999864</v>
      </c>
      <c r="I276" s="9">
        <f t="shared" si="76"/>
        <v>49.877652089986071</v>
      </c>
      <c r="J276">
        <f t="shared" si="87"/>
        <v>49.88569116031735</v>
      </c>
      <c r="K276">
        <f t="shared" si="72"/>
        <v>49.994248114968343</v>
      </c>
      <c r="M276" s="15">
        <f t="shared" si="74"/>
        <v>2.6999999999999864</v>
      </c>
      <c r="N276">
        <f t="shared" si="88"/>
        <v>6.1487011832396009E-3</v>
      </c>
      <c r="O276">
        <f t="shared" si="77"/>
        <v>8.678115622497453E-3</v>
      </c>
      <c r="P276">
        <f t="shared" si="83"/>
        <v>-3.44437773483222E-3</v>
      </c>
      <c r="Q276">
        <f t="shared" si="84"/>
        <v>-2.214332614015966E-2</v>
      </c>
      <c r="R276">
        <f t="shared" si="78"/>
        <v>-1.5299826537853195E-2</v>
      </c>
      <c r="S276">
        <f t="shared" si="79"/>
        <v>8.7090690567790188E-5</v>
      </c>
      <c r="U276" s="15">
        <f t="shared" si="75"/>
        <v>2.6999999999999864</v>
      </c>
      <c r="V276">
        <f t="shared" si="89"/>
        <v>19.99752886386571</v>
      </c>
      <c r="W276">
        <f t="shared" si="80"/>
        <v>2.4711361342895088E-3</v>
      </c>
      <c r="X276">
        <f t="shared" si="85"/>
        <v>5.7510402882102207</v>
      </c>
      <c r="Y276">
        <f t="shared" si="86"/>
        <v>-6.3056041721409883E-3</v>
      </c>
      <c r="Z276">
        <f t="shared" si="81"/>
        <v>6.1487011832396009E-3</v>
      </c>
      <c r="AA276">
        <f t="shared" si="82"/>
        <v>1.4826816805737053E-2</v>
      </c>
    </row>
    <row r="277" spans="8:27" x14ac:dyDescent="0.25">
      <c r="H277" s="15">
        <f t="shared" si="73"/>
        <v>2.7099999999999862</v>
      </c>
      <c r="I277" s="9">
        <f t="shared" si="76"/>
        <v>49.880346666756843</v>
      </c>
      <c r="J277">
        <f t="shared" si="87"/>
        <v>49.888236822231534</v>
      </c>
      <c r="K277">
        <f t="shared" ref="K277:K306" si="90">K276+$E$8*DEGREES($E$6*$C$5*$C$6^2*$E$5/(4*$C$7)*$C$8*RADIANS(K276) +$E$6*$C$5*$C$6*$E$5^2/(2*$C$7)*$C$9*$C$18)</f>
        <v>49.99437620965201</v>
      </c>
      <c r="M277" s="15">
        <f t="shared" si="74"/>
        <v>2.7099999999999862</v>
      </c>
      <c r="N277">
        <f t="shared" si="88"/>
        <v>5.9957029178610687E-3</v>
      </c>
      <c r="O277">
        <f t="shared" si="77"/>
        <v>8.4621918168716215E-3</v>
      </c>
      <c r="P277">
        <f t="shared" si="83"/>
        <v>-3.3586761976353748E-3</v>
      </c>
      <c r="Q277">
        <f t="shared" si="84"/>
        <v>-2.1592380562583148E-2</v>
      </c>
      <c r="R277">
        <f t="shared" si="78"/>
        <v>-1.4919075405843394E-2</v>
      </c>
      <c r="S277">
        <f t="shared" si="79"/>
        <v>8.4921160059462167E-5</v>
      </c>
      <c r="U277" s="15">
        <f t="shared" si="75"/>
        <v>2.7099999999999862</v>
      </c>
      <c r="V277">
        <f t="shared" si="89"/>
        <v>19.997590350877545</v>
      </c>
      <c r="W277">
        <f t="shared" si="80"/>
        <v>2.4096491224554484E-3</v>
      </c>
      <c r="X277">
        <f t="shared" si="85"/>
        <v>5.7510646921365041</v>
      </c>
      <c r="Y277">
        <f t="shared" si="86"/>
        <v>-6.1487011834060468E-3</v>
      </c>
      <c r="Z277">
        <f t="shared" si="81"/>
        <v>5.9957029178610687E-3</v>
      </c>
      <c r="AA277">
        <f t="shared" si="82"/>
        <v>1.445789473473269E-2</v>
      </c>
    </row>
    <row r="278" spans="8:27" x14ac:dyDescent="0.25">
      <c r="H278" s="15">
        <f>H277+$E$8</f>
        <v>2.719999999999986</v>
      </c>
      <c r="I278" s="9">
        <f t="shared" si="76"/>
        <v>49.88298189846833</v>
      </c>
      <c r="J278">
        <f t="shared" si="87"/>
        <v>49.890725792164595</v>
      </c>
      <c r="K278">
        <f t="shared" si="90"/>
        <v>49.994501451662529</v>
      </c>
      <c r="M278" s="15">
        <f>M277+$E$8</f>
        <v>2.719999999999986</v>
      </c>
      <c r="N278">
        <f t="shared" si="88"/>
        <v>5.8465121638026345E-3</v>
      </c>
      <c r="O278">
        <f t="shared" si="77"/>
        <v>8.2516403958517743E-3</v>
      </c>
      <c r="P278">
        <f t="shared" si="83"/>
        <v>-3.275107036571758E-3</v>
      </c>
      <c r="Q278">
        <f t="shared" si="84"/>
        <v>-2.1055142101984725E-2</v>
      </c>
      <c r="R278">
        <f t="shared" si="78"/>
        <v>-1.4547803174934348E-2</v>
      </c>
      <c r="S278">
        <f t="shared" si="79"/>
        <v>8.2805812175089366E-5</v>
      </c>
      <c r="U278" s="15">
        <f>U277+$E$8</f>
        <v>2.719999999999986</v>
      </c>
      <c r="V278">
        <f t="shared" si="89"/>
        <v>19.997650307906724</v>
      </c>
      <c r="W278">
        <f t="shared" si="80"/>
        <v>2.3496920932757348E-3</v>
      </c>
      <c r="X278">
        <f t="shared" si="85"/>
        <v>5.7510884888425826</v>
      </c>
      <c r="Y278">
        <f t="shared" si="86"/>
        <v>-5.9957029179713572E-3</v>
      </c>
      <c r="Z278">
        <f t="shared" si="81"/>
        <v>5.8465121638026345E-3</v>
      </c>
      <c r="AA278">
        <f t="shared" si="82"/>
        <v>1.4098152559654409E-2</v>
      </c>
    </row>
    <row r="279" spans="8:27" x14ac:dyDescent="0.25">
      <c r="H279" s="15">
        <f t="shared" ref="H279:H295" si="91">H278+$E$8</f>
        <v>2.7299999999999858</v>
      </c>
      <c r="I279" s="9">
        <f t="shared" si="76"/>
        <v>49.885559092129505</v>
      </c>
      <c r="J279">
        <f t="shared" si="87"/>
        <v>49.893159332648963</v>
      </c>
      <c r="K279">
        <f t="shared" si="90"/>
        <v>49.994623904529035</v>
      </c>
      <c r="M279" s="15">
        <f t="shared" ref="M279:M295" si="92">M278+$E$8</f>
        <v>2.7299999999999858</v>
      </c>
      <c r="N279">
        <f t="shared" si="88"/>
        <v>5.7010341320532908E-3</v>
      </c>
      <c r="O279">
        <f t="shared" si="77"/>
        <v>8.0463276977825338E-3</v>
      </c>
      <c r="P279">
        <f t="shared" si="83"/>
        <v>-3.1936171961035862E-3</v>
      </c>
      <c r="Q279">
        <f t="shared" si="84"/>
        <v>-2.0531269806924046E-2</v>
      </c>
      <c r="R279">
        <f t="shared" si="78"/>
        <v>-1.4185773588601451E-2</v>
      </c>
      <c r="S279">
        <f t="shared" si="79"/>
        <v>8.0743283022103457E-5</v>
      </c>
      <c r="U279" s="15">
        <f t="shared" ref="U279:U295" si="93">U278+$E$8</f>
        <v>2.7299999999999858</v>
      </c>
      <c r="V279">
        <f t="shared" si="89"/>
        <v>19.997708773028361</v>
      </c>
      <c r="W279">
        <f t="shared" si="80"/>
        <v>2.2912269716393041E-3</v>
      </c>
      <c r="X279">
        <f t="shared" si="85"/>
        <v>5.751111693437907</v>
      </c>
      <c r="Y279">
        <f t="shared" si="86"/>
        <v>-5.8465121636430695E-3</v>
      </c>
      <c r="Z279">
        <f t="shared" si="81"/>
        <v>5.7010341320532908E-3</v>
      </c>
      <c r="AA279">
        <f t="shared" si="82"/>
        <v>1.3747361829835825E-2</v>
      </c>
    </row>
    <row r="280" spans="8:27" x14ac:dyDescent="0.25">
      <c r="H280" s="15">
        <f t="shared" si="91"/>
        <v>2.7399999999999856</v>
      </c>
      <c r="I280" s="9">
        <f t="shared" si="76"/>
        <v>49.88807952596396</v>
      </c>
      <c r="J280">
        <f t="shared" si="87"/>
        <v>49.895538678100429</v>
      </c>
      <c r="K280">
        <f t="shared" si="90"/>
        <v>49.994743630365861</v>
      </c>
      <c r="M280" s="15">
        <f t="shared" si="92"/>
        <v>2.7399999999999856</v>
      </c>
      <c r="N280">
        <f t="shared" si="88"/>
        <v>5.5591763961672759E-3</v>
      </c>
      <c r="O280">
        <f t="shared" si="77"/>
        <v>7.8461233857552333E-3</v>
      </c>
      <c r="P280">
        <f t="shared" si="83"/>
        <v>-3.1141549406858973E-3</v>
      </c>
      <c r="Q280">
        <f t="shared" si="84"/>
        <v>-2.0020431202730053E-2</v>
      </c>
      <c r="R280">
        <f t="shared" si="78"/>
        <v>-1.3832756301838254E-2</v>
      </c>
      <c r="S280">
        <f t="shared" si="79"/>
        <v>7.8732243946321237E-5</v>
      </c>
      <c r="U280" s="15">
        <f t="shared" si="93"/>
        <v>2.7399999999999856</v>
      </c>
      <c r="V280">
        <f t="shared" si="89"/>
        <v>19.99776578336968</v>
      </c>
      <c r="W280">
        <f t="shared" si="80"/>
        <v>2.2342166303204181E-3</v>
      </c>
      <c r="X280">
        <f t="shared" si="85"/>
        <v>5.7511343206559165</v>
      </c>
      <c r="Y280">
        <f t="shared" si="86"/>
        <v>-5.7010341318886049E-3</v>
      </c>
      <c r="Z280">
        <f t="shared" si="81"/>
        <v>5.5591763961672759E-3</v>
      </c>
      <c r="AA280">
        <f t="shared" si="82"/>
        <v>1.3405299781922508E-2</v>
      </c>
    </row>
    <row r="281" spans="8:27" x14ac:dyDescent="0.25">
      <c r="H281" s="15">
        <f t="shared" si="91"/>
        <v>2.7499999999999853</v>
      </c>
      <c r="I281" s="9">
        <f t="shared" si="76"/>
        <v>49.890544450043798</v>
      </c>
      <c r="J281">
        <f t="shared" si="87"/>
        <v>49.897865035444298</v>
      </c>
      <c r="K281">
        <f t="shared" si="90"/>
        <v>49.994860689904051</v>
      </c>
      <c r="M281" s="15">
        <f t="shared" si="92"/>
        <v>2.7499999999999853</v>
      </c>
      <c r="N281">
        <f t="shared" si="88"/>
        <v>5.4208488331488934E-3</v>
      </c>
      <c r="O281">
        <f t="shared" si="77"/>
        <v>7.6509003650124486E-3</v>
      </c>
      <c r="P281">
        <f t="shared" si="83"/>
        <v>-3.036669821932059E-3</v>
      </c>
      <c r="Q281">
        <f t="shared" si="84"/>
        <v>-1.9522302074278467E-2</v>
      </c>
      <c r="R281">
        <f t="shared" si="78"/>
        <v>-1.3488526728222174E-2</v>
      </c>
      <c r="S281">
        <f t="shared" si="79"/>
        <v>7.6771400378182648E-5</v>
      </c>
      <c r="U281" s="15">
        <f t="shared" si="93"/>
        <v>2.7499999999999853</v>
      </c>
      <c r="V281">
        <f t="shared" si="89"/>
        <v>19.99782137513364</v>
      </c>
      <c r="W281">
        <f t="shared" si="80"/>
        <v>2.1786248663602237E-3</v>
      </c>
      <c r="X281">
        <f t="shared" si="85"/>
        <v>5.7511563848633998</v>
      </c>
      <c r="Y281">
        <f t="shared" si="86"/>
        <v>-5.5591763960194385E-3</v>
      </c>
      <c r="Z281">
        <f t="shared" si="81"/>
        <v>5.4208488331488934E-3</v>
      </c>
      <c r="AA281">
        <f t="shared" si="82"/>
        <v>1.3071749198161342E-2</v>
      </c>
    </row>
    <row r="282" spans="8:27" x14ac:dyDescent="0.25">
      <c r="H282" s="15">
        <f t="shared" si="91"/>
        <v>2.7599999999999851</v>
      </c>
      <c r="I282" s="9">
        <f t="shared" si="76"/>
        <v>49.892955086909687</v>
      </c>
      <c r="J282">
        <f t="shared" si="87"/>
        <v>49.900139584727604</v>
      </c>
      <c r="K282">
        <f t="shared" si="90"/>
        <v>49.994975142522172</v>
      </c>
      <c r="M282" s="15">
        <f t="shared" si="92"/>
        <v>2.7599999999999851</v>
      </c>
      <c r="N282">
        <f t="shared" si="88"/>
        <v>5.2859635658666715E-3</v>
      </c>
      <c r="O282">
        <f t="shared" si="77"/>
        <v>7.4605347022977586E-3</v>
      </c>
      <c r="P282">
        <f t="shared" si="83"/>
        <v>-2.9611126465955077E-3</v>
      </c>
      <c r="Q282">
        <f t="shared" si="84"/>
        <v>-1.9036566271469005E-2</v>
      </c>
      <c r="R282">
        <f t="shared" si="78"/>
        <v>-1.3152865898092185E-2</v>
      </c>
      <c r="S282">
        <f t="shared" si="79"/>
        <v>7.4859491096711944E-5</v>
      </c>
      <c r="U282" s="15">
        <f t="shared" si="93"/>
        <v>2.7599999999999851</v>
      </c>
      <c r="V282">
        <f t="shared" si="89"/>
        <v>19.997875583621973</v>
      </c>
      <c r="W282">
        <f t="shared" si="80"/>
        <v>2.124416378027405E-3</v>
      </c>
      <c r="X282">
        <f t="shared" si="85"/>
        <v>5.7511779000696217</v>
      </c>
      <c r="Y282">
        <f t="shared" si="86"/>
        <v>-5.4208488332818661E-3</v>
      </c>
      <c r="Z282">
        <f t="shared" si="81"/>
        <v>5.2859635658666715E-3</v>
      </c>
      <c r="AA282">
        <f t="shared" si="82"/>
        <v>1.274649826816443E-2</v>
      </c>
    </row>
    <row r="283" spans="8:27" x14ac:dyDescent="0.25">
      <c r="H283" s="15">
        <f t="shared" si="91"/>
        <v>2.7699999999999849</v>
      </c>
      <c r="I283" s="9">
        <f t="shared" si="76"/>
        <v>49.895312632177188</v>
      </c>
      <c r="J283">
        <f t="shared" si="87"/>
        <v>49.902363479717692</v>
      </c>
      <c r="K283">
        <f t="shared" si="90"/>
        <v>49.995087046276431</v>
      </c>
      <c r="M283" s="15">
        <f t="shared" si="92"/>
        <v>2.7699999999999849</v>
      </c>
      <c r="N283">
        <f t="shared" si="88"/>
        <v>5.1544349068857499E-3</v>
      </c>
      <c r="O283">
        <f t="shared" si="77"/>
        <v>7.2749055473257628E-3</v>
      </c>
      <c r="P283">
        <f t="shared" si="83"/>
        <v>-2.8874354453473903E-3</v>
      </c>
      <c r="Q283">
        <f t="shared" si="84"/>
        <v>-1.8562915497199583E-2</v>
      </c>
      <c r="R283">
        <f t="shared" si="78"/>
        <v>-1.2825560311840553E-2</v>
      </c>
      <c r="S283">
        <f t="shared" si="79"/>
        <v>7.2995287057421414E-5</v>
      </c>
      <c r="U283" s="15">
        <f t="shared" si="93"/>
        <v>2.7699999999999849</v>
      </c>
      <c r="V283">
        <f t="shared" si="89"/>
        <v>19.997928443257631</v>
      </c>
      <c r="W283">
        <f t="shared" si="80"/>
        <v>2.0715567423685854E-3</v>
      </c>
      <c r="X283">
        <f t="shared" si="85"/>
        <v>5.7511988799352238</v>
      </c>
      <c r="Y283">
        <f t="shared" si="86"/>
        <v>-5.285963565881957E-3</v>
      </c>
      <c r="Z283">
        <f t="shared" si="81"/>
        <v>5.1544349068857499E-3</v>
      </c>
      <c r="AA283">
        <f t="shared" si="82"/>
        <v>1.2429340454211513E-2</v>
      </c>
    </row>
    <row r="284" spans="8:27" x14ac:dyDescent="0.25">
      <c r="H284" s="15">
        <f t="shared" si="91"/>
        <v>2.7799999999999847</v>
      </c>
      <c r="I284" s="9">
        <f t="shared" si="76"/>
        <v>49.897618255129771</v>
      </c>
      <c r="J284">
        <f t="shared" si="87"/>
        <v>49.904537848487472</v>
      </c>
      <c r="K284">
        <f t="shared" si="90"/>
        <v>49.995196457930113</v>
      </c>
      <c r="M284" s="15">
        <f t="shared" si="92"/>
        <v>2.7799999999999847</v>
      </c>
      <c r="N284">
        <f t="shared" si="88"/>
        <v>5.0261793037673442E-3</v>
      </c>
      <c r="O284">
        <f t="shared" si="77"/>
        <v>7.0938950560251101E-3</v>
      </c>
      <c r="P284">
        <f t="shared" si="83"/>
        <v>-2.8155914423306358E-3</v>
      </c>
      <c r="Q284">
        <f t="shared" si="84"/>
        <v>-1.8101049130065262E-2</v>
      </c>
      <c r="R284">
        <f t="shared" si="78"/>
        <v>-1.2506401809079016E-2</v>
      </c>
      <c r="S284">
        <f t="shared" si="79"/>
        <v>7.1177590903612024E-5</v>
      </c>
      <c r="U284" s="15">
        <f t="shared" si="93"/>
        <v>2.7799999999999847</v>
      </c>
      <c r="V284">
        <f t="shared" si="89"/>
        <v>19.997979987606701</v>
      </c>
      <c r="W284">
        <f t="shared" si="80"/>
        <v>2.0200123932987424E-3</v>
      </c>
      <c r="X284">
        <f t="shared" si="85"/>
        <v>5.7512193377809018</v>
      </c>
      <c r="Y284">
        <f t="shared" si="86"/>
        <v>-5.1544349069843065E-3</v>
      </c>
      <c r="Z284">
        <f t="shared" si="81"/>
        <v>5.0261793037673442E-3</v>
      </c>
      <c r="AA284">
        <f t="shared" si="82"/>
        <v>1.2120074359792454E-2</v>
      </c>
    </row>
    <row r="285" spans="8:27" x14ac:dyDescent="0.25">
      <c r="H285" s="15">
        <f t="shared" si="91"/>
        <v>2.7899999999999845</v>
      </c>
      <c r="I285" s="9">
        <f t="shared" si="76"/>
        <v>49.899873099298716</v>
      </c>
      <c r="J285">
        <f t="shared" si="87"/>
        <v>49.906663793987626</v>
      </c>
      <c r="K285">
        <f t="shared" si="90"/>
        <v>49.995303432982389</v>
      </c>
      <c r="M285" s="15">
        <f t="shared" si="92"/>
        <v>2.7899999999999845</v>
      </c>
      <c r="N285">
        <f t="shared" si="88"/>
        <v>4.9011152856765538E-3</v>
      </c>
      <c r="O285">
        <f t="shared" si="77"/>
        <v>6.9173883158837835E-3</v>
      </c>
      <c r="P285">
        <f t="shared" si="83"/>
        <v>-2.7455350254710913E-3</v>
      </c>
      <c r="Q285">
        <f t="shared" si="84"/>
        <v>-1.7650674014132658E-2</v>
      </c>
      <c r="R285">
        <f t="shared" si="78"/>
        <v>-1.2195187426911131E-2</v>
      </c>
      <c r="S285">
        <f t="shared" si="79"/>
        <v>6.9405235729215475E-5</v>
      </c>
      <c r="U285" s="15">
        <f t="shared" si="93"/>
        <v>2.7899999999999845</v>
      </c>
      <c r="V285">
        <f t="shared" si="89"/>
        <v>19.99803024939974</v>
      </c>
      <c r="W285">
        <f t="shared" si="80"/>
        <v>1.9697506002600562E-3</v>
      </c>
      <c r="X285">
        <f t="shared" si="85"/>
        <v>5.7512392865958697</v>
      </c>
      <c r="Y285">
        <f t="shared" si="86"/>
        <v>-5.0261793038686164E-3</v>
      </c>
      <c r="Z285">
        <f t="shared" si="81"/>
        <v>4.9011152856765538E-3</v>
      </c>
      <c r="AA285">
        <f t="shared" si="82"/>
        <v>1.1818503601560337E-2</v>
      </c>
    </row>
    <row r="286" spans="8:27" x14ac:dyDescent="0.25">
      <c r="H286" s="15">
        <f t="shared" si="91"/>
        <v>2.7999999999999843</v>
      </c>
      <c r="I286" s="9">
        <f t="shared" si="76"/>
        <v>49.902078283030328</v>
      </c>
      <c r="J286">
        <f t="shared" si="87"/>
        <v>49.908742394606087</v>
      </c>
      <c r="K286">
        <f t="shared" si="90"/>
        <v>49.995408025696456</v>
      </c>
      <c r="M286" s="15">
        <f t="shared" si="92"/>
        <v>2.7999999999999843</v>
      </c>
      <c r="N286">
        <f t="shared" si="88"/>
        <v>4.7791634114074423E-3</v>
      </c>
      <c r="O286">
        <f t="shared" si="77"/>
        <v>6.7452732730106067E-3</v>
      </c>
      <c r="P286">
        <f t="shared" si="83"/>
        <v>-2.6772217175266193E-3</v>
      </c>
      <c r="Q286">
        <f t="shared" si="84"/>
        <v>-1.7211504287317683E-2</v>
      </c>
      <c r="R286">
        <f t="shared" si="78"/>
        <v>-1.1891719273230726E-2</v>
      </c>
      <c r="S286">
        <f t="shared" si="79"/>
        <v>6.7677084485059068E-5</v>
      </c>
      <c r="U286" s="15">
        <f t="shared" si="93"/>
        <v>2.7999999999999843</v>
      </c>
      <c r="V286">
        <f t="shared" si="89"/>
        <v>19.998079260552597</v>
      </c>
      <c r="W286">
        <f t="shared" si="80"/>
        <v>1.9207394474030082E-3</v>
      </c>
      <c r="X286">
        <f t="shared" si="85"/>
        <v>5.7512587390461078</v>
      </c>
      <c r="Y286">
        <f t="shared" si="86"/>
        <v>-4.9011152857048046E-3</v>
      </c>
      <c r="Z286">
        <f t="shared" si="81"/>
        <v>4.7791634114074423E-3</v>
      </c>
      <c r="AA286">
        <f t="shared" si="82"/>
        <v>1.1524436684418049E-2</v>
      </c>
    </row>
    <row r="287" spans="8:27" x14ac:dyDescent="0.25">
      <c r="H287" s="15">
        <f t="shared" si="91"/>
        <v>2.8099999999999841</v>
      </c>
      <c r="I287" s="9">
        <f t="shared" si="76"/>
        <v>49.904234900040535</v>
      </c>
      <c r="J287">
        <f t="shared" si="87"/>
        <v>49.910774704715045</v>
      </c>
      <c r="K287">
        <f t="shared" si="90"/>
        <v>49.995510289127068</v>
      </c>
      <c r="M287" s="15">
        <f t="shared" si="92"/>
        <v>2.8099999999999841</v>
      </c>
      <c r="N287">
        <f t="shared" si="88"/>
        <v>4.6602462186751351E-3</v>
      </c>
      <c r="O287">
        <f t="shared" si="77"/>
        <v>6.5774406610632271E-3</v>
      </c>
      <c r="P287">
        <f t="shared" si="83"/>
        <v>-2.6106081478562502E-3</v>
      </c>
      <c r="Q287">
        <f t="shared" si="84"/>
        <v>-1.6783261194737963E-2</v>
      </c>
      <c r="R287">
        <f t="shared" si="78"/>
        <v>-1.1595804397622084E-2</v>
      </c>
      <c r="S287">
        <f t="shared" si="79"/>
        <v>6.5992029102176358E-5</v>
      </c>
      <c r="U287" s="15">
        <f t="shared" si="93"/>
        <v>2.8099999999999841</v>
      </c>
      <c r="V287">
        <f t="shared" si="89"/>
        <v>19.99812705218671</v>
      </c>
      <c r="W287">
        <f t="shared" si="80"/>
        <v>1.872947813289727E-3</v>
      </c>
      <c r="X287">
        <f t="shared" si="85"/>
        <v>5.7512777074824113</v>
      </c>
      <c r="Y287">
        <f t="shared" si="86"/>
        <v>-4.7791634113281134E-3</v>
      </c>
      <c r="Z287">
        <f t="shared" si="81"/>
        <v>4.6602462186751351E-3</v>
      </c>
      <c r="AA287">
        <f t="shared" si="82"/>
        <v>1.1237686879738362E-2</v>
      </c>
    </row>
    <row r="288" spans="8:27" x14ac:dyDescent="0.25">
      <c r="H288" s="15">
        <f t="shared" si="91"/>
        <v>2.8199999999999839</v>
      </c>
      <c r="I288" s="9">
        <f t="shared" si="76"/>
        <v>49.906344019957437</v>
      </c>
      <c r="J288">
        <f t="shared" si="87"/>
        <v>49.912761755205793</v>
      </c>
      <c r="K288">
        <f t="shared" si="90"/>
        <v>49.995610275147456</v>
      </c>
      <c r="M288" s="15">
        <f t="shared" si="92"/>
        <v>2.8199999999999839</v>
      </c>
      <c r="N288">
        <f t="shared" si="88"/>
        <v>4.5442881746989147E-3</v>
      </c>
      <c r="O288">
        <f t="shared" si="77"/>
        <v>6.413783931912013E-3</v>
      </c>
      <c r="P288">
        <f t="shared" si="83"/>
        <v>-2.5456520248913739E-3</v>
      </c>
      <c r="Q288">
        <f t="shared" si="84"/>
        <v>-1.636567291512141E-2</v>
      </c>
      <c r="R288">
        <f t="shared" si="78"/>
        <v>-1.1307254668251762E-2</v>
      </c>
      <c r="S288">
        <f t="shared" si="79"/>
        <v>6.4348989784058196E-5</v>
      </c>
      <c r="U288" s="15">
        <f t="shared" si="93"/>
        <v>2.8199999999999839</v>
      </c>
      <c r="V288">
        <f t="shared" si="89"/>
        <v>19.998173654648898</v>
      </c>
      <c r="W288">
        <f t="shared" si="80"/>
        <v>1.8263453511018213E-3</v>
      </c>
      <c r="X288">
        <f t="shared" si="85"/>
        <v>5.7512962039482334</v>
      </c>
      <c r="Y288">
        <f t="shared" si="86"/>
        <v>-4.6602462187905758E-3</v>
      </c>
      <c r="Z288">
        <f t="shared" si="81"/>
        <v>4.5442881746989147E-3</v>
      </c>
      <c r="AA288">
        <f t="shared" si="82"/>
        <v>1.0958072106610928E-2</v>
      </c>
    </row>
    <row r="289" spans="8:27" x14ac:dyDescent="0.25">
      <c r="H289" s="15">
        <f t="shared" si="91"/>
        <v>2.8299999999999836</v>
      </c>
      <c r="I289" s="9">
        <f t="shared" si="76"/>
        <v>49.90840668885172</v>
      </c>
      <c r="J289">
        <f t="shared" si="87"/>
        <v>49.914704554011635</v>
      </c>
      <c r="K289">
        <f t="shared" si="90"/>
        <v>49.995708034475619</v>
      </c>
      <c r="M289" s="15">
        <f t="shared" si="92"/>
        <v>2.8299999999999836</v>
      </c>
      <c r="N289">
        <f t="shared" si="88"/>
        <v>4.4312156280163972E-3</v>
      </c>
      <c r="O289">
        <f t="shared" si="77"/>
        <v>6.2541991881210979E-3</v>
      </c>
      <c r="P289">
        <f t="shared" si="83"/>
        <v>-2.4823121092912084E-3</v>
      </c>
      <c r="Q289">
        <f t="shared" si="84"/>
        <v>-1.5958474379091508E-2</v>
      </c>
      <c r="R289">
        <f t="shared" si="78"/>
        <v>-1.1025886646075751E-2</v>
      </c>
      <c r="S289">
        <f t="shared" si="79"/>
        <v>6.2746914004761442E-5</v>
      </c>
      <c r="U289" s="15">
        <f t="shared" si="93"/>
        <v>2.8299999999999836</v>
      </c>
      <c r="V289">
        <f t="shared" si="89"/>
        <v>19.998219097530644</v>
      </c>
      <c r="W289">
        <f t="shared" si="80"/>
        <v>1.7809024693562492E-3</v>
      </c>
      <c r="X289">
        <f t="shared" si="85"/>
        <v>5.7513142401873356</v>
      </c>
      <c r="Y289">
        <f t="shared" si="86"/>
        <v>-4.5442881745572095E-3</v>
      </c>
      <c r="Z289">
        <f t="shared" si="81"/>
        <v>4.4312156280163972E-3</v>
      </c>
      <c r="AA289">
        <f t="shared" si="82"/>
        <v>1.0685414816137495E-2</v>
      </c>
    </row>
    <row r="290" spans="8:27" x14ac:dyDescent="0.25">
      <c r="H290" s="15">
        <f t="shared" si="91"/>
        <v>2.8399999999999834</v>
      </c>
      <c r="I290" s="9">
        <f t="shared" si="76"/>
        <v>49.910423929755552</v>
      </c>
      <c r="J290">
        <f t="shared" si="87"/>
        <v>49.916604086619159</v>
      </c>
      <c r="K290">
        <f t="shared" si="90"/>
        <v>49.99580361670008</v>
      </c>
      <c r="M290" s="15">
        <f t="shared" si="92"/>
        <v>2.8399999999999834</v>
      </c>
      <c r="N290">
        <f t="shared" si="88"/>
        <v>4.3209567615556397E-3</v>
      </c>
      <c r="O290">
        <f t="shared" si="77"/>
        <v>6.0985851168999785E-3</v>
      </c>
      <c r="P290">
        <f t="shared" si="83"/>
        <v>-2.4205481877661032E-3</v>
      </c>
      <c r="Q290">
        <f t="shared" si="84"/>
        <v>-1.5561407122111938E-2</v>
      </c>
      <c r="R290">
        <f t="shared" si="78"/>
        <v>-1.0751521475585482E-2</v>
      </c>
      <c r="S290">
        <f t="shared" si="79"/>
        <v>6.1184776251678105E-5</v>
      </c>
      <c r="U290" s="15">
        <f t="shared" si="93"/>
        <v>2.8399999999999834</v>
      </c>
      <c r="V290">
        <f t="shared" si="89"/>
        <v>19.998263409686924</v>
      </c>
      <c r="W290">
        <f t="shared" si="80"/>
        <v>1.7365903130759364E-3</v>
      </c>
      <c r="X290">
        <f t="shared" si="85"/>
        <v>5.7513318276512475</v>
      </c>
      <c r="Y290">
        <f t="shared" si="86"/>
        <v>-4.431215628031282E-3</v>
      </c>
      <c r="Z290">
        <f t="shared" si="81"/>
        <v>4.3209567615556397E-3</v>
      </c>
      <c r="AA290">
        <f t="shared" si="82"/>
        <v>1.0419541878455618E-2</v>
      </c>
    </row>
    <row r="291" spans="8:27" x14ac:dyDescent="0.25">
      <c r="H291" s="15">
        <f t="shared" si="91"/>
        <v>2.8499999999999832</v>
      </c>
      <c r="I291" s="9">
        <f t="shared" si="76"/>
        <v>49.912396743169936</v>
      </c>
      <c r="J291">
        <f t="shared" si="87"/>
        <v>49.918461316568141</v>
      </c>
      <c r="K291">
        <f t="shared" si="90"/>
        <v>49.995897070305013</v>
      </c>
      <c r="M291" s="15">
        <f t="shared" si="92"/>
        <v>2.8499999999999832</v>
      </c>
      <c r="N291">
        <f t="shared" si="88"/>
        <v>4.2134415467997852E-3</v>
      </c>
      <c r="O291">
        <f t="shared" si="77"/>
        <v>5.9468429259681701E-3</v>
      </c>
      <c r="P291">
        <f t="shared" si="83"/>
        <v>-2.3603210475517623E-3</v>
      </c>
      <c r="Q291">
        <f t="shared" si="84"/>
        <v>-1.5174219093180841E-2</v>
      </c>
      <c r="R291">
        <f t="shared" si="78"/>
        <v>-1.0483984759280248E-2</v>
      </c>
      <c r="S291">
        <f t="shared" si="79"/>
        <v>5.9661576754280535E-5</v>
      </c>
      <c r="U291" s="15">
        <f t="shared" si="93"/>
        <v>2.8499999999999832</v>
      </c>
      <c r="V291">
        <f t="shared" si="89"/>
        <v>19.998306619254539</v>
      </c>
      <c r="W291">
        <f t="shared" si="80"/>
        <v>1.6933807454613259E-3</v>
      </c>
      <c r="X291">
        <f t="shared" si="85"/>
        <v>5.7513489775065398</v>
      </c>
      <c r="Y291">
        <f t="shared" si="86"/>
        <v>-4.3209567614610478E-3</v>
      </c>
      <c r="Z291">
        <f t="shared" si="81"/>
        <v>4.2134415467997852E-3</v>
      </c>
      <c r="AA291">
        <f t="shared" si="82"/>
        <v>1.0160284472767955E-2</v>
      </c>
    </row>
    <row r="292" spans="8:27" x14ac:dyDescent="0.25">
      <c r="H292" s="15">
        <f t="shared" si="91"/>
        <v>2.859999999999983</v>
      </c>
      <c r="I292" s="9">
        <f t="shared" si="76"/>
        <v>49.914326107560974</v>
      </c>
      <c r="J292">
        <f t="shared" si="87"/>
        <v>49.920277185940286</v>
      </c>
      <c r="K292">
        <f t="shared" si="90"/>
        <v>49.995988442694845</v>
      </c>
      <c r="M292" s="15">
        <f t="shared" si="92"/>
        <v>2.859999999999983</v>
      </c>
      <c r="N292">
        <f t="shared" si="88"/>
        <v>4.108601699206983E-3</v>
      </c>
      <c r="O292">
        <f t="shared" si="77"/>
        <v>5.7988762807438575E-3</v>
      </c>
      <c r="P292">
        <f t="shared" si="83"/>
        <v>-2.301592451518202E-3</v>
      </c>
      <c r="Q292">
        <f t="shared" si="84"/>
        <v>-1.4796664522431259E-2</v>
      </c>
      <c r="R292">
        <f t="shared" si="78"/>
        <v>-1.0223106455499877E-2</v>
      </c>
      <c r="S292">
        <f t="shared" si="79"/>
        <v>5.8176341327608599E-5</v>
      </c>
      <c r="U292" s="15">
        <f t="shared" si="93"/>
        <v>2.859999999999983</v>
      </c>
      <c r="V292">
        <f t="shared" si="89"/>
        <v>19.998348753670008</v>
      </c>
      <c r="W292">
        <f t="shared" si="80"/>
        <v>1.6512463299918068E-3</v>
      </c>
      <c r="X292">
        <f t="shared" si="85"/>
        <v>5.7513657006419168</v>
      </c>
      <c r="Y292">
        <f t="shared" si="86"/>
        <v>-4.2134415469519126E-3</v>
      </c>
      <c r="Z292">
        <f t="shared" si="81"/>
        <v>4.108601699206983E-3</v>
      </c>
      <c r="AA292">
        <f t="shared" si="82"/>
        <v>9.9074779799508406E-3</v>
      </c>
    </row>
    <row r="293" spans="8:27" x14ac:dyDescent="0.25">
      <c r="H293" s="15">
        <f t="shared" si="91"/>
        <v>2.8699999999999828</v>
      </c>
      <c r="I293" s="9">
        <f t="shared" si="76"/>
        <v>49.916212979845113</v>
      </c>
      <c r="J293">
        <f t="shared" si="87"/>
        <v>49.922052615837103</v>
      </c>
      <c r="K293">
        <f t="shared" si="90"/>
        <v>49.996077780218315</v>
      </c>
      <c r="M293" s="15">
        <f t="shared" si="92"/>
        <v>2.8699999999999828</v>
      </c>
      <c r="N293">
        <f t="shared" si="88"/>
        <v>4.0063706346519842E-3</v>
      </c>
      <c r="O293">
        <f t="shared" si="77"/>
        <v>5.6545912433459359E-3</v>
      </c>
      <c r="P293">
        <f t="shared" si="83"/>
        <v>-2.2443251138977529E-3</v>
      </c>
      <c r="Q293">
        <f t="shared" si="84"/>
        <v>-1.4428503739792164E-2</v>
      </c>
      <c r="R293">
        <f t="shared" si="78"/>
        <v>-9.968720759698322E-3</v>
      </c>
      <c r="S293">
        <f t="shared" si="79"/>
        <v>5.6728120194813984E-5</v>
      </c>
      <c r="U293" s="15">
        <f t="shared" si="93"/>
        <v>2.8699999999999828</v>
      </c>
      <c r="V293">
        <f t="shared" si="89"/>
        <v>19.998389839687</v>
      </c>
      <c r="W293">
        <f t="shared" si="80"/>
        <v>1.6101603129996533E-3</v>
      </c>
      <c r="X293">
        <f t="shared" si="85"/>
        <v>5.7513820076751321</v>
      </c>
      <c r="Y293">
        <f t="shared" si="86"/>
        <v>-4.1086016992153418E-3</v>
      </c>
      <c r="Z293">
        <f t="shared" si="81"/>
        <v>4.0063706346519842E-3</v>
      </c>
      <c r="AA293">
        <f t="shared" si="82"/>
        <v>9.6609618779979201E-3</v>
      </c>
    </row>
    <row r="294" spans="8:27" x14ac:dyDescent="0.25">
      <c r="H294" s="15">
        <f t="shared" si="91"/>
        <v>2.8799999999999826</v>
      </c>
      <c r="I294" s="9">
        <f t="shared" si="76"/>
        <v>49.918058295863794</v>
      </c>
      <c r="J294">
        <f t="shared" si="87"/>
        <v>49.923788506847146</v>
      </c>
      <c r="K294">
        <f t="shared" si="90"/>
        <v>49.996165128191969</v>
      </c>
      <c r="M294" s="15">
        <f t="shared" si="92"/>
        <v>2.8799999999999826</v>
      </c>
      <c r="N294">
        <f t="shared" si="88"/>
        <v>3.9066834270550009E-3</v>
      </c>
      <c r="O294">
        <f t="shared" si="77"/>
        <v>5.51389621286016E-3</v>
      </c>
      <c r="P294">
        <f t="shared" si="83"/>
        <v>-2.1884826766167226E-3</v>
      </c>
      <c r="Q294">
        <f t="shared" si="84"/>
        <v>-1.4069503048577594E-2</v>
      </c>
      <c r="R294">
        <f t="shared" si="78"/>
        <v>-9.7206660075354785E-3</v>
      </c>
      <c r="S294">
        <f t="shared" si="79"/>
        <v>5.5315987849069263E-5</v>
      </c>
      <c r="U294" s="15">
        <f t="shared" si="93"/>
        <v>2.8799999999999826</v>
      </c>
      <c r="V294">
        <f t="shared" si="89"/>
        <v>19.998429903393347</v>
      </c>
      <c r="W294">
        <f t="shared" si="80"/>
        <v>1.5700966066525268E-3</v>
      </c>
      <c r="X294">
        <f t="shared" si="85"/>
        <v>5.7513979089597305</v>
      </c>
      <c r="Y294">
        <f t="shared" si="86"/>
        <v>-4.0063706347126526E-3</v>
      </c>
      <c r="Z294">
        <f t="shared" si="81"/>
        <v>3.9066834270550009E-3</v>
      </c>
      <c r="AA294">
        <f t="shared" si="82"/>
        <v>9.4205796399151609E-3</v>
      </c>
    </row>
    <row r="295" spans="8:27" x14ac:dyDescent="0.25">
      <c r="H295" s="15">
        <f t="shared" si="91"/>
        <v>2.8899999999999824</v>
      </c>
      <c r="I295" s="9">
        <f t="shared" si="76"/>
        <v>49.919862970847596</v>
      </c>
      <c r="J295">
        <f t="shared" si="87"/>
        <v>49.925485739502825</v>
      </c>
      <c r="K295">
        <f t="shared" si="90"/>
        <v>49.996250530923156</v>
      </c>
      <c r="M295" s="15">
        <f t="shared" si="92"/>
        <v>2.8899999999999824</v>
      </c>
      <c r="N295">
        <f t="shared" si="88"/>
        <v>3.809476766979646E-3</v>
      </c>
      <c r="O295">
        <f t="shared" si="77"/>
        <v>5.376701867322066E-3</v>
      </c>
      <c r="P295">
        <f t="shared" si="83"/>
        <v>-2.1340296862158116E-3</v>
      </c>
      <c r="Q295">
        <f t="shared" si="84"/>
        <v>-1.37194345538094E-2</v>
      </c>
      <c r="R295">
        <f t="shared" si="78"/>
        <v>-9.4787845627407556E-3</v>
      </c>
      <c r="S295">
        <f t="shared" si="79"/>
        <v>5.3939041973020789E-5</v>
      </c>
      <c r="U295" s="15">
        <f t="shared" si="93"/>
        <v>2.8899999999999824</v>
      </c>
      <c r="V295">
        <f t="shared" si="89"/>
        <v>19.998468970227616</v>
      </c>
      <c r="W295">
        <f t="shared" si="80"/>
        <v>1.5310297723836186E-3</v>
      </c>
      <c r="X295">
        <f t="shared" si="85"/>
        <v>5.7514134145916254</v>
      </c>
      <c r="Y295">
        <f t="shared" si="86"/>
        <v>-3.9066834268908224E-3</v>
      </c>
      <c r="Z295">
        <f t="shared" si="81"/>
        <v>3.809476766979646E-3</v>
      </c>
      <c r="AA295">
        <f t="shared" si="82"/>
        <v>9.1861786343017116E-3</v>
      </c>
    </row>
    <row r="296" spans="8:27" x14ac:dyDescent="0.25">
      <c r="H296" s="15">
        <f>H295+$E$8</f>
        <v>2.8999999999999821</v>
      </c>
      <c r="I296" s="9">
        <f t="shared" si="76"/>
        <v>49.921627899870153</v>
      </c>
      <c r="J296">
        <f t="shared" si="87"/>
        <v>49.927145174727059</v>
      </c>
      <c r="K296">
        <f t="shared" si="90"/>
        <v>49.996334031732488</v>
      </c>
      <c r="M296" s="15">
        <f>M295+$E$8</f>
        <v>2.8999999999999821</v>
      </c>
      <c r="N296">
        <f t="shared" si="88"/>
        <v>3.7146889213522383E-3</v>
      </c>
      <c r="O296">
        <f t="shared" si="77"/>
        <v>5.242921106923315E-3</v>
      </c>
      <c r="P296">
        <f t="shared" si="83"/>
        <v>-2.0809315713445848E-3</v>
      </c>
      <c r="Q296">
        <f t="shared" si="84"/>
        <v>-1.3378076039875092E-2</v>
      </c>
      <c r="R296">
        <f t="shared" si="78"/>
        <v>-9.242922724387044E-3</v>
      </c>
      <c r="S296">
        <f t="shared" si="79"/>
        <v>5.2596403275043807E-5</v>
      </c>
      <c r="U296" s="15">
        <f>U295+$E$8</f>
        <v>2.8999999999999821</v>
      </c>
      <c r="V296">
        <f t="shared" si="89"/>
        <v>19.998507064995287</v>
      </c>
      <c r="W296">
        <f t="shared" si="80"/>
        <v>1.4929350047125922E-3</v>
      </c>
      <c r="X296">
        <f t="shared" si="85"/>
        <v>5.7514285344155107</v>
      </c>
      <c r="Y296">
        <f t="shared" si="86"/>
        <v>-3.8094767671026375E-3</v>
      </c>
      <c r="Z296">
        <f t="shared" si="81"/>
        <v>3.7146889213522383E-3</v>
      </c>
      <c r="AA296">
        <f t="shared" si="82"/>
        <v>8.9576100282755533E-3</v>
      </c>
    </row>
    <row r="297" spans="8:27" x14ac:dyDescent="0.25">
      <c r="H297" s="15">
        <f t="shared" ref="H297:H306" si="94">H296+$E$8</f>
        <v>2.9099999999999819</v>
      </c>
      <c r="I297" s="9">
        <f t="shared" si="76"/>
        <v>49.92335395829209</v>
      </c>
      <c r="J297">
        <f t="shared" si="87"/>
        <v>49.92876765426999</v>
      </c>
      <c r="K297">
        <f t="shared" si="90"/>
        <v>49.996415672975836</v>
      </c>
      <c r="M297" s="15">
        <f t="shared" ref="M297:M306" si="95">M296+$E$8</f>
        <v>2.9099999999999819</v>
      </c>
      <c r="N297">
        <f t="shared" si="88"/>
        <v>3.6222596941083676E-3</v>
      </c>
      <c r="O297">
        <f t="shared" si="77"/>
        <v>5.1124689988913709E-3</v>
      </c>
      <c r="P297">
        <f t="shared" si="83"/>
        <v>-2.0291546208155114E-3</v>
      </c>
      <c r="Q297">
        <f t="shared" si="84"/>
        <v>-1.3045210803194415E-2</v>
      </c>
      <c r="R297">
        <f t="shared" si="78"/>
        <v>-9.0129306178050352E-3</v>
      </c>
      <c r="S297">
        <f t="shared" si="79"/>
        <v>5.1287214326760019E-5</v>
      </c>
      <c r="U297" s="15">
        <f t="shared" ref="U297:U306" si="96">U296+$E$8</f>
        <v>2.9099999999999819</v>
      </c>
      <c r="V297">
        <f t="shared" si="89"/>
        <v>19.9985442118845</v>
      </c>
      <c r="W297">
        <f t="shared" si="80"/>
        <v>1.4557881154999563E-3</v>
      </c>
      <c r="X297">
        <f t="shared" si="85"/>
        <v>5.751443278031112</v>
      </c>
      <c r="Y297">
        <f t="shared" si="86"/>
        <v>-3.714688921263587E-3</v>
      </c>
      <c r="Z297">
        <f t="shared" si="81"/>
        <v>3.6222596941083676E-3</v>
      </c>
      <c r="AA297">
        <f t="shared" si="82"/>
        <v>8.7347286929997381E-3</v>
      </c>
    </row>
    <row r="298" spans="8:27" x14ac:dyDescent="0.25">
      <c r="H298" s="15">
        <f t="shared" si="94"/>
        <v>2.9199999999999817</v>
      </c>
      <c r="I298" s="9">
        <f t="shared" si="76"/>
        <v>49.925042002195198</v>
      </c>
      <c r="J298">
        <f t="shared" si="87"/>
        <v>49.930354001135953</v>
      </c>
      <c r="K298">
        <f t="shared" si="90"/>
        <v>49.996495496065798</v>
      </c>
      <c r="M298" s="15">
        <f t="shared" si="95"/>
        <v>2.9199999999999817</v>
      </c>
      <c r="N298">
        <f t="shared" si="88"/>
        <v>3.5321303879303173E-3</v>
      </c>
      <c r="O298">
        <f t="shared" si="77"/>
        <v>4.9852627234312531E-3</v>
      </c>
      <c r="P298">
        <f t="shared" si="83"/>
        <v>-1.9786659622038983E-3</v>
      </c>
      <c r="Q298">
        <f t="shared" si="84"/>
        <v>-1.2720627546011776E-2</v>
      </c>
      <c r="R298">
        <f t="shared" si="78"/>
        <v>-8.7886621103697073E-3</v>
      </c>
      <c r="S298">
        <f t="shared" si="79"/>
        <v>5.0010639617101976E-5</v>
      </c>
      <c r="U298" s="15">
        <f t="shared" si="96"/>
        <v>2.9199999999999817</v>
      </c>
      <c r="V298">
        <f t="shared" si="89"/>
        <v>19.99858043448144</v>
      </c>
      <c r="W298">
        <f t="shared" si="80"/>
        <v>1.4195655185602618E-3</v>
      </c>
      <c r="X298">
        <f t="shared" si="85"/>
        <v>5.7514576547992826</v>
      </c>
      <c r="Y298">
        <f t="shared" si="86"/>
        <v>-3.622259693969454E-3</v>
      </c>
      <c r="Z298">
        <f t="shared" si="81"/>
        <v>3.5321303879303173E-3</v>
      </c>
      <c r="AA298">
        <f t="shared" si="82"/>
        <v>8.5173931113615708E-3</v>
      </c>
    </row>
    <row r="299" spans="8:27" x14ac:dyDescent="0.25">
      <c r="H299" s="15">
        <f t="shared" si="94"/>
        <v>2.9299999999999815</v>
      </c>
      <c r="I299" s="9">
        <f t="shared" si="76"/>
        <v>49.926692868807024</v>
      </c>
      <c r="J299">
        <f t="shared" si="87"/>
        <v>49.931905020000947</v>
      </c>
      <c r="K299">
        <f t="shared" si="90"/>
        <v>49.996573541492715</v>
      </c>
      <c r="M299" s="15">
        <f t="shared" si="95"/>
        <v>2.9299999999999815</v>
      </c>
      <c r="N299">
        <f t="shared" si="88"/>
        <v>3.44424376682662E-3</v>
      </c>
      <c r="O299">
        <f t="shared" si="77"/>
        <v>4.861221521255228E-3</v>
      </c>
      <c r="P299">
        <f t="shared" si="83"/>
        <v>-1.9294335409804659E-3</v>
      </c>
      <c r="Q299">
        <f t="shared" si="84"/>
        <v>-1.2404120217602514E-2</v>
      </c>
      <c r="R299">
        <f t="shared" si="78"/>
        <v>-8.5699747100043983E-3</v>
      </c>
      <c r="S299">
        <f t="shared" si="79"/>
        <v>4.8765864567898269E-5</v>
      </c>
      <c r="U299" s="15">
        <f t="shared" si="96"/>
        <v>2.9299999999999815</v>
      </c>
      <c r="V299">
        <f t="shared" si="89"/>
        <v>19.99861575578532</v>
      </c>
      <c r="W299">
        <f t="shared" si="80"/>
        <v>1.384244214680308E-3</v>
      </c>
      <c r="X299">
        <f t="shared" si="85"/>
        <v>5.7514716738479486</v>
      </c>
      <c r="Y299">
        <f t="shared" si="86"/>
        <v>-3.5321303879953803E-3</v>
      </c>
      <c r="Z299">
        <f t="shared" si="81"/>
        <v>3.44424376682662E-3</v>
      </c>
      <c r="AA299">
        <f t="shared" si="82"/>
        <v>8.305465288081848E-3</v>
      </c>
    </row>
    <row r="300" spans="8:27" x14ac:dyDescent="0.25">
      <c r="H300" s="15">
        <f t="shared" si="94"/>
        <v>2.9399999999999813</v>
      </c>
      <c r="I300" s="9">
        <f t="shared" si="76"/>
        <v>49.928307376916095</v>
      </c>
      <c r="J300">
        <f t="shared" si="87"/>
        <v>49.933421497620806</v>
      </c>
      <c r="K300">
        <f t="shared" si="90"/>
        <v>49.996649848845209</v>
      </c>
      <c r="M300" s="15">
        <f t="shared" si="95"/>
        <v>2.9399999999999813</v>
      </c>
      <c r="N300">
        <f t="shared" si="88"/>
        <v>3.358544019726576E-3</v>
      </c>
      <c r="O300">
        <f t="shared" si="77"/>
        <v>4.7402666423357297E-3</v>
      </c>
      <c r="P300">
        <f t="shared" si="83"/>
        <v>-1.8814261001625112E-3</v>
      </c>
      <c r="Q300">
        <f t="shared" si="84"/>
        <v>-1.2095487891949832E-2</v>
      </c>
      <c r="R300">
        <f t="shared" si="78"/>
        <v>-8.3567294753746323E-3</v>
      </c>
      <c r="S300">
        <f t="shared" si="79"/>
        <v>4.7552095060594997E-5</v>
      </c>
      <c r="U300" s="15">
        <f t="shared" si="96"/>
        <v>2.9399999999999813</v>
      </c>
      <c r="V300">
        <f t="shared" si="89"/>
        <v>19.99865019822299</v>
      </c>
      <c r="W300">
        <f t="shared" si="80"/>
        <v>1.3498017770103843E-3</v>
      </c>
      <c r="X300">
        <f t="shared" si="85"/>
        <v>5.7514853440779072</v>
      </c>
      <c r="Y300">
        <f t="shared" si="86"/>
        <v>-3.444243766992372E-3</v>
      </c>
      <c r="Z300">
        <f t="shared" si="81"/>
        <v>3.358544019726576E-3</v>
      </c>
      <c r="AA300">
        <f t="shared" si="82"/>
        <v>8.0988106620623057E-3</v>
      </c>
    </row>
    <row r="301" spans="8:27" x14ac:dyDescent="0.25">
      <c r="H301" s="15">
        <f t="shared" si="94"/>
        <v>2.9499999999999811</v>
      </c>
      <c r="I301" s="9">
        <f t="shared" si="76"/>
        <v>49.929886327278012</v>
      </c>
      <c r="J301">
        <f t="shared" si="87"/>
        <v>49.934904203230282</v>
      </c>
      <c r="K301">
        <f t="shared" si="90"/>
        <v>49.99672445683025</v>
      </c>
      <c r="M301" s="15">
        <f t="shared" si="95"/>
        <v>2.9499999999999811</v>
      </c>
      <c r="N301">
        <f t="shared" si="88"/>
        <v>3.2749767249728298E-3</v>
      </c>
      <c r="O301">
        <f t="shared" si="77"/>
        <v>4.6223212959131824E-3</v>
      </c>
      <c r="P301">
        <f t="shared" si="83"/>
        <v>-1.8346131604712666E-3</v>
      </c>
      <c r="Q301">
        <f t="shared" si="84"/>
        <v>-1.1794534642254727E-2</v>
      </c>
      <c r="R301">
        <f t="shared" si="78"/>
        <v>-8.1487909278889423E-3</v>
      </c>
      <c r="S301">
        <f t="shared" si="79"/>
        <v>4.6368556952515981E-5</v>
      </c>
      <c r="U301" s="15">
        <f t="shared" si="96"/>
        <v>2.9499999999999811</v>
      </c>
      <c r="V301">
        <f t="shared" si="89"/>
        <v>19.998683783663186</v>
      </c>
      <c r="W301">
        <f t="shared" si="80"/>
        <v>1.3162163368143354E-3</v>
      </c>
      <c r="X301">
        <f t="shared" si="85"/>
        <v>5.7514986741684764</v>
      </c>
      <c r="Y301">
        <f t="shared" si="86"/>
        <v>-3.3585440196048921E-3</v>
      </c>
      <c r="Z301">
        <f t="shared" si="81"/>
        <v>3.2749767249728298E-3</v>
      </c>
      <c r="AA301">
        <f t="shared" si="82"/>
        <v>7.8972980208860122E-3</v>
      </c>
    </row>
    <row r="302" spans="8:27" x14ac:dyDescent="0.25">
      <c r="H302" s="15">
        <f t="shared" si="94"/>
        <v>2.9599999999999809</v>
      </c>
      <c r="I302" s="9">
        <f t="shared" si="76"/>
        <v>49.93143050301267</v>
      </c>
      <c r="J302">
        <f t="shared" si="87"/>
        <v>49.93635388893324</v>
      </c>
      <c r="K302">
        <f t="shared" si="90"/>
        <v>49.996797403292824</v>
      </c>
      <c r="M302" s="15">
        <f t="shared" si="95"/>
        <v>2.9599999999999809</v>
      </c>
      <c r="N302">
        <f t="shared" si="88"/>
        <v>3.1934888156939403E-3</v>
      </c>
      <c r="O302">
        <f t="shared" si="77"/>
        <v>4.5073106016914992E-3</v>
      </c>
      <c r="P302">
        <f t="shared" si="83"/>
        <v>-1.7889650009832432E-3</v>
      </c>
      <c r="Q302">
        <f t="shared" si="84"/>
        <v>-1.150106942216832E-2</v>
      </c>
      <c r="R302">
        <f t="shared" si="78"/>
        <v>-7.9460269686439326E-3</v>
      </c>
      <c r="S302">
        <f t="shared" si="79"/>
        <v>4.5214495754901558E-5</v>
      </c>
      <c r="U302" s="15">
        <f t="shared" si="96"/>
        <v>2.9599999999999809</v>
      </c>
      <c r="V302">
        <f t="shared" si="89"/>
        <v>19.998716533430436</v>
      </c>
      <c r="W302">
        <f t="shared" si="80"/>
        <v>1.28346656956424E-3</v>
      </c>
      <c r="X302">
        <f t="shared" si="85"/>
        <v>5.7515116725830087</v>
      </c>
      <c r="Y302">
        <f t="shared" si="86"/>
        <v>-3.2749767250095374E-3</v>
      </c>
      <c r="Z302">
        <f t="shared" si="81"/>
        <v>3.1934888156939403E-3</v>
      </c>
      <c r="AA302">
        <f t="shared" si="82"/>
        <v>7.7007994173854399E-3</v>
      </c>
    </row>
    <row r="303" spans="8:27" x14ac:dyDescent="0.25">
      <c r="H303" s="15">
        <f t="shared" si="94"/>
        <v>2.9699999999999807</v>
      </c>
      <c r="I303" s="9">
        <f t="shared" si="76"/>
        <v>49.932940669992597</v>
      </c>
      <c r="J303">
        <f t="shared" si="87"/>
        <v>49.937771290084179</v>
      </c>
      <c r="K303">
        <f t="shared" si="90"/>
        <v>49.996868725235089</v>
      </c>
      <c r="M303" s="15">
        <f t="shared" si="95"/>
        <v>2.9699999999999807</v>
      </c>
      <c r="N303">
        <f t="shared" si="88"/>
        <v>3.114028546007501E-3</v>
      </c>
      <c r="O303">
        <f t="shared" si="77"/>
        <v>4.3951615424412463E-3</v>
      </c>
      <c r="P303">
        <f t="shared" si="83"/>
        <v>-1.7444526402625796E-3</v>
      </c>
      <c r="Q303">
        <f t="shared" si="84"/>
        <v>-1.121490592502529E-2</v>
      </c>
      <c r="R303">
        <f t="shared" si="78"/>
        <v>-7.7483087855914025E-3</v>
      </c>
      <c r="S303">
        <f t="shared" si="79"/>
        <v>4.4089175680658149E-5</v>
      </c>
      <c r="U303" s="15">
        <f t="shared" si="96"/>
        <v>2.9699999999999807</v>
      </c>
      <c r="V303">
        <f t="shared" si="89"/>
        <v>19.998748468318592</v>
      </c>
      <c r="W303">
        <f t="shared" si="80"/>
        <v>1.2515316814081245E-3</v>
      </c>
      <c r="X303">
        <f t="shared" si="85"/>
        <v>5.7515243475742635</v>
      </c>
      <c r="Y303">
        <f t="shared" si="86"/>
        <v>-3.1934888156115449E-3</v>
      </c>
      <c r="Z303">
        <f t="shared" si="81"/>
        <v>3.114028546007501E-3</v>
      </c>
      <c r="AA303">
        <f t="shared" si="82"/>
        <v>7.5091900884487472E-3</v>
      </c>
    </row>
    <row r="304" spans="8:27" x14ac:dyDescent="0.25">
      <c r="H304" s="15">
        <f t="shared" si="94"/>
        <v>2.9799999999999804</v>
      </c>
      <c r="I304" s="9">
        <f t="shared" si="76"/>
        <v>49.93441757722281</v>
      </c>
      <c r="J304">
        <f t="shared" si="87"/>
        <v>49.939157125661211</v>
      </c>
      <c r="K304">
        <f t="shared" si="90"/>
        <v>49.996938458835167</v>
      </c>
      <c r="M304" s="15">
        <f t="shared" si="95"/>
        <v>2.9799999999999804</v>
      </c>
      <c r="N304">
        <f t="shared" si="88"/>
        <v>3.0365454581515869E-3</v>
      </c>
      <c r="O304">
        <f t="shared" si="77"/>
        <v>4.2858029175289894E-3</v>
      </c>
      <c r="P304">
        <f t="shared" si="83"/>
        <v>-1.7010478179627284E-3</v>
      </c>
      <c r="Q304">
        <f t="shared" si="84"/>
        <v>-1.0935862491225686E-2</v>
      </c>
      <c r="R304">
        <f t="shared" si="78"/>
        <v>-7.5555107807746425E-3</v>
      </c>
      <c r="S304">
        <f t="shared" si="79"/>
        <v>4.299187966792014E-5</v>
      </c>
      <c r="U304" s="15">
        <f t="shared" si="96"/>
        <v>2.9799999999999804</v>
      </c>
      <c r="V304">
        <f t="shared" si="89"/>
        <v>19.998779608604053</v>
      </c>
      <c r="W304">
        <f t="shared" si="80"/>
        <v>1.2203913959467627E-3</v>
      </c>
      <c r="X304">
        <f t="shared" si="85"/>
        <v>5.7515367071896506</v>
      </c>
      <c r="Y304">
        <f t="shared" si="86"/>
        <v>-3.1140285461361827E-3</v>
      </c>
      <c r="Z304">
        <f t="shared" si="81"/>
        <v>3.0365454581515869E-3</v>
      </c>
      <c r="AA304">
        <f t="shared" si="82"/>
        <v>7.3223483756805763E-3</v>
      </c>
    </row>
    <row r="305" spans="8:27" x14ac:dyDescent="0.25">
      <c r="H305" s="15">
        <f t="shared" si="94"/>
        <v>2.9899999999999802</v>
      </c>
      <c r="I305" s="9">
        <f t="shared" si="76"/>
        <v>49.935861957212353</v>
      </c>
      <c r="J305">
        <f t="shared" si="87"/>
        <v>49.940512098630784</v>
      </c>
      <c r="K305">
        <f t="shared" si="90"/>
        <v>49.997006639465496</v>
      </c>
      <c r="M305" s="15">
        <f t="shared" si="95"/>
        <v>2.9899999999999802</v>
      </c>
      <c r="N305">
        <f t="shared" si="88"/>
        <v>2.9609903503438405E-3</v>
      </c>
      <c r="O305">
        <f t="shared" si="77"/>
        <v>4.1791652978506386E-3</v>
      </c>
      <c r="P305">
        <f t="shared" si="83"/>
        <v>-1.6587229768858303E-3</v>
      </c>
      <c r="Q305">
        <f t="shared" si="84"/>
        <v>-1.0663761967835087E-2</v>
      </c>
      <c r="R305">
        <f t="shared" si="78"/>
        <v>-7.3675104807853923E-3</v>
      </c>
      <c r="S305">
        <f t="shared" si="79"/>
        <v>4.1921908406224694E-5</v>
      </c>
      <c r="U305" s="15">
        <f t="shared" si="96"/>
        <v>2.9899999999999802</v>
      </c>
      <c r="V305">
        <f t="shared" si="89"/>
        <v>19.998809974058634</v>
      </c>
      <c r="W305">
        <f t="shared" si="80"/>
        <v>1.1900259413657466E-3</v>
      </c>
      <c r="X305">
        <f t="shared" si="85"/>
        <v>5.7515487592763375</v>
      </c>
      <c r="Y305">
        <f t="shared" si="86"/>
        <v>-3.0365454581016138E-3</v>
      </c>
      <c r="Z305">
        <f t="shared" si="81"/>
        <v>2.9609903503438405E-3</v>
      </c>
      <c r="AA305">
        <f t="shared" si="82"/>
        <v>7.1401556481944795E-3</v>
      </c>
    </row>
    <row r="306" spans="8:27" x14ac:dyDescent="0.25">
      <c r="H306" s="15">
        <f t="shared" si="94"/>
        <v>2.99999999999998</v>
      </c>
      <c r="I306" s="9">
        <f t="shared" si="76"/>
        <v>49.937274526337553</v>
      </c>
      <c r="J306">
        <f t="shared" si="87"/>
        <v>49.941836896304267</v>
      </c>
      <c r="K306">
        <f t="shared" si="90"/>
        <v>49.99707330171077</v>
      </c>
      <c r="M306" s="15">
        <f t="shared" si="95"/>
        <v>2.99999999999998</v>
      </c>
      <c r="N306">
        <f t="shared" si="88"/>
        <v>2.8873152455359866E-3</v>
      </c>
      <c r="O306">
        <f t="shared" si="77"/>
        <v>4.0751809816386101E-3</v>
      </c>
      <c r="P306">
        <f t="shared" si="83"/>
        <v>-1.6174512454883842E-3</v>
      </c>
      <c r="Q306">
        <f t="shared" si="84"/>
        <v>-1.0398431621202846E-2</v>
      </c>
      <c r="R306">
        <f t="shared" si="78"/>
        <v>-7.1841884679219531E-3</v>
      </c>
      <c r="S306">
        <f t="shared" si="79"/>
        <v>4.0878580376728715E-5</v>
      </c>
      <c r="U306" s="15">
        <f t="shared" si="96"/>
        <v>2.99999999999998</v>
      </c>
      <c r="V306">
        <f t="shared" si="89"/>
        <v>19.998839583962138</v>
      </c>
      <c r="W306">
        <f t="shared" si="80"/>
        <v>1.1604160378624329E-3</v>
      </c>
      <c r="X306">
        <f>X305+(W306+W305)*$E$8/2</f>
        <v>5.7515605114862334</v>
      </c>
      <c r="Y306">
        <f t="shared" si="86"/>
        <v>-2.9609903503313717E-3</v>
      </c>
      <c r="Z306">
        <f t="shared" si="81"/>
        <v>2.8873152455359866E-3</v>
      </c>
      <c r="AA306">
        <f t="shared" si="82"/>
        <v>6.9624962271745972E-3</v>
      </c>
    </row>
  </sheetData>
  <mergeCells count="25">
    <mergeCell ref="Q4:Q5"/>
    <mergeCell ref="S4:S5"/>
    <mergeCell ref="B3:E4"/>
    <mergeCell ref="B16:E17"/>
    <mergeCell ref="B31:C32"/>
    <mergeCell ref="M4:M5"/>
    <mergeCell ref="N4:N5"/>
    <mergeCell ref="O4:O5"/>
    <mergeCell ref="P4:P5"/>
    <mergeCell ref="AC3:AM4"/>
    <mergeCell ref="H2:K3"/>
    <mergeCell ref="H4:H5"/>
    <mergeCell ref="I4:I5"/>
    <mergeCell ref="J4:J5"/>
    <mergeCell ref="K4:K5"/>
    <mergeCell ref="R4:R5"/>
    <mergeCell ref="U4:U5"/>
    <mergeCell ref="V4:V5"/>
    <mergeCell ref="W4:W5"/>
    <mergeCell ref="X4:X5"/>
    <mergeCell ref="U2:AA3"/>
    <mergeCell ref="Y4:Y5"/>
    <mergeCell ref="Z4:Z5"/>
    <mergeCell ref="AA4:AA5"/>
    <mergeCell ref="M2:S3"/>
  </mergeCells>
  <pageMargins left="0.7" right="0.7" top="0.75" bottom="0.75" header="0.3" footer="0.3"/>
  <ignoredErrors>
    <ignoredError sqref="I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2026-02-13T16:53:54Z</dcterms:created>
  <dcterms:modified xsi:type="dcterms:W3CDTF">2026-02-26T17:44:49Z</dcterms:modified>
</cp:coreProperties>
</file>