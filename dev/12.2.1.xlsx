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iah Goates\git-repos\Flight_Sim\dev\"/>
    </mc:Choice>
  </mc:AlternateContent>
  <xr:revisionPtr revIDLastSave="0" documentId="13_ncr:1_{B1EB57B6-D38C-452E-B05C-D1D884311D6C}" xr6:coauthVersionLast="47" xr6:coauthVersionMax="47" xr10:uidLastSave="{00000000-0000-0000-0000-000000000000}"/>
  <bookViews>
    <workbookView xWindow="-120" yWindow="-120" windowWidth="38640" windowHeight="21240" xr2:uid="{449B0D0B-F1CC-44A4-9497-F7B3741350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/>
  <c r="R6" i="1" s="1"/>
  <c r="O6" i="1"/>
  <c r="N6" i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K20" i="1"/>
  <c r="K21" i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8" i="1"/>
  <c r="K9" i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7" i="1"/>
  <c r="K6" i="1"/>
  <c r="J7" i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  <c r="J191" i="1" s="1"/>
  <c r="J192" i="1" s="1"/>
  <c r="J193" i="1" s="1"/>
  <c r="J194" i="1" s="1"/>
  <c r="J195" i="1" s="1"/>
  <c r="J196" i="1" s="1"/>
  <c r="J197" i="1" s="1"/>
  <c r="J198" i="1" s="1"/>
  <c r="J199" i="1" s="1"/>
  <c r="J200" i="1" s="1"/>
  <c r="J201" i="1" s="1"/>
  <c r="J202" i="1" s="1"/>
  <c r="J203" i="1" s="1"/>
  <c r="J204" i="1" s="1"/>
  <c r="J205" i="1" s="1"/>
  <c r="J206" i="1" s="1"/>
  <c r="J207" i="1" s="1"/>
  <c r="J208" i="1" s="1"/>
  <c r="J209" i="1" s="1"/>
  <c r="J210" i="1" s="1"/>
  <c r="J211" i="1" s="1"/>
  <c r="J212" i="1" s="1"/>
  <c r="J213" i="1" s="1"/>
  <c r="J214" i="1" s="1"/>
  <c r="J215" i="1" s="1"/>
  <c r="J216" i="1" s="1"/>
  <c r="J217" i="1" s="1"/>
  <c r="J218" i="1" s="1"/>
  <c r="J219" i="1" s="1"/>
  <c r="J220" i="1" s="1"/>
  <c r="J221" i="1" s="1"/>
  <c r="J222" i="1" s="1"/>
  <c r="J223" i="1" s="1"/>
  <c r="J224" i="1" s="1"/>
  <c r="J225" i="1" s="1"/>
  <c r="J226" i="1" s="1"/>
  <c r="J227" i="1" s="1"/>
  <c r="J228" i="1" s="1"/>
  <c r="J229" i="1" s="1"/>
  <c r="J230" i="1" s="1"/>
  <c r="J231" i="1" s="1"/>
  <c r="J232" i="1" s="1"/>
  <c r="J233" i="1" s="1"/>
  <c r="J234" i="1" s="1"/>
  <c r="J235" i="1" s="1"/>
  <c r="J236" i="1" s="1"/>
  <c r="J237" i="1" s="1"/>
  <c r="J238" i="1" s="1"/>
  <c r="J239" i="1" s="1"/>
  <c r="J240" i="1" s="1"/>
  <c r="J241" i="1" s="1"/>
  <c r="J242" i="1" s="1"/>
  <c r="J243" i="1" s="1"/>
  <c r="J244" i="1" s="1"/>
  <c r="J245" i="1" s="1"/>
  <c r="J246" i="1" s="1"/>
  <c r="J247" i="1" s="1"/>
  <c r="J248" i="1" s="1"/>
  <c r="J249" i="1" s="1"/>
  <c r="J250" i="1" s="1"/>
  <c r="J251" i="1" s="1"/>
  <c r="J252" i="1" s="1"/>
  <c r="J253" i="1" s="1"/>
  <c r="J254" i="1" s="1"/>
  <c r="J255" i="1" s="1"/>
  <c r="J256" i="1" s="1"/>
  <c r="J257" i="1" s="1"/>
  <c r="J258" i="1" s="1"/>
  <c r="J259" i="1" s="1"/>
  <c r="J260" i="1" s="1"/>
  <c r="J261" i="1" s="1"/>
  <c r="J262" i="1" s="1"/>
  <c r="J263" i="1" s="1"/>
  <c r="J264" i="1" s="1"/>
  <c r="J265" i="1" s="1"/>
  <c r="J266" i="1" s="1"/>
  <c r="J267" i="1" s="1"/>
  <c r="J268" i="1" s="1"/>
  <c r="J269" i="1" s="1"/>
  <c r="J270" i="1" s="1"/>
  <c r="J271" i="1" s="1"/>
  <c r="J272" i="1" s="1"/>
  <c r="J273" i="1" s="1"/>
  <c r="J274" i="1" s="1"/>
  <c r="J275" i="1" s="1"/>
  <c r="J276" i="1" s="1"/>
  <c r="J277" i="1" s="1"/>
  <c r="J278" i="1" s="1"/>
  <c r="J279" i="1" s="1"/>
  <c r="J280" i="1" s="1"/>
  <c r="J281" i="1" s="1"/>
  <c r="J282" i="1" s="1"/>
  <c r="J283" i="1" s="1"/>
  <c r="J284" i="1" s="1"/>
  <c r="J285" i="1" s="1"/>
  <c r="J286" i="1" s="1"/>
  <c r="J287" i="1" s="1"/>
  <c r="J288" i="1" s="1"/>
  <c r="J289" i="1" s="1"/>
  <c r="J290" i="1" s="1"/>
  <c r="J291" i="1" s="1"/>
  <c r="J292" i="1" s="1"/>
  <c r="J293" i="1" s="1"/>
  <c r="J294" i="1" s="1"/>
  <c r="J295" i="1" s="1"/>
  <c r="J296" i="1" s="1"/>
  <c r="J297" i="1" s="1"/>
  <c r="J298" i="1" s="1"/>
  <c r="J299" i="1" s="1"/>
  <c r="J300" i="1" s="1"/>
  <c r="J301" i="1" s="1"/>
  <c r="J302" i="1" s="1"/>
  <c r="J303" i="1" s="1"/>
  <c r="J304" i="1" s="1"/>
  <c r="J305" i="1" s="1"/>
  <c r="J306" i="1" s="1"/>
  <c r="J6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6" i="1"/>
  <c r="H296" i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278" i="1"/>
  <c r="H279" i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173" i="1"/>
  <c r="H174" i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69" i="1"/>
  <c r="H70" i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56" i="1"/>
  <c r="H57" i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8" i="1"/>
  <c r="H9" i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7" i="1"/>
  <c r="H6" i="1"/>
  <c r="C20" i="1"/>
  <c r="C18" i="1"/>
  <c r="C19" i="1" s="1"/>
  <c r="N7" i="1" l="1"/>
  <c r="O7" i="1" s="1"/>
  <c r="Q7" i="1" s="1"/>
  <c r="P7" i="1" l="1"/>
  <c r="R7" i="1" l="1"/>
  <c r="N8" i="1" s="1"/>
  <c r="O8" i="1" l="1"/>
  <c r="P8" i="1" l="1"/>
  <c r="Q8" i="1"/>
  <c r="R8" i="1" l="1"/>
  <c r="N9" i="1" s="1"/>
  <c r="O9" i="1" s="1"/>
  <c r="Q9" i="1" s="1"/>
  <c r="P9" i="1" l="1"/>
  <c r="R9" i="1" s="1"/>
  <c r="N10" i="1" s="1"/>
  <c r="O10" i="1" s="1"/>
  <c r="Q10" i="1" s="1"/>
  <c r="P10" i="1" l="1"/>
  <c r="R10" i="1" s="1"/>
  <c r="N11" i="1"/>
  <c r="O11" i="1" s="1"/>
  <c r="Q11" i="1" s="1"/>
  <c r="P11" i="1" l="1"/>
  <c r="R11" i="1" s="1"/>
  <c r="N12" i="1" l="1"/>
  <c r="O12" i="1" s="1"/>
  <c r="Q12" i="1" s="1"/>
  <c r="P12" i="1" l="1"/>
  <c r="R12" i="1" s="1"/>
  <c r="N13" i="1" l="1"/>
  <c r="O13" i="1" s="1"/>
  <c r="Q13" i="1" s="1"/>
  <c r="P13" i="1" l="1"/>
  <c r="R13" i="1" s="1"/>
  <c r="N14" i="1" l="1"/>
  <c r="O14" i="1" s="1"/>
  <c r="Q14" i="1" s="1"/>
  <c r="P14" i="1" l="1"/>
  <c r="R14" i="1" l="1"/>
  <c r="N15" i="1" s="1"/>
  <c r="O15" i="1" l="1"/>
  <c r="Q15" i="1" s="1"/>
  <c r="P15" i="1" l="1"/>
  <c r="R15" i="1" s="1"/>
  <c r="N16" i="1" s="1"/>
  <c r="O16" i="1" s="1"/>
  <c r="Q16" i="1" s="1"/>
  <c r="P16" i="1" l="1"/>
  <c r="R16" i="1" s="1"/>
  <c r="N17" i="1" l="1"/>
  <c r="O17" i="1" s="1"/>
  <c r="P17" i="1" l="1"/>
  <c r="Q17" i="1"/>
  <c r="R17" i="1" l="1"/>
  <c r="N18" i="1" s="1"/>
  <c r="O18" i="1" s="1"/>
  <c r="Q18" i="1" s="1"/>
  <c r="P18" i="1" l="1"/>
  <c r="R18" i="1" s="1"/>
  <c r="N19" i="1" s="1"/>
  <c r="O19" i="1" s="1"/>
  <c r="Q19" i="1" s="1"/>
  <c r="P19" i="1" l="1"/>
  <c r="R19" i="1" l="1"/>
  <c r="N20" i="1" s="1"/>
  <c r="O20" i="1" s="1"/>
  <c r="Q20" i="1" s="1"/>
  <c r="P20" i="1" l="1"/>
  <c r="R20" i="1" s="1"/>
  <c r="N21" i="1" l="1"/>
  <c r="O21" i="1" s="1"/>
  <c r="Q21" i="1" s="1"/>
  <c r="P21" i="1" l="1"/>
  <c r="R21" i="1" l="1"/>
  <c r="N22" i="1" s="1"/>
  <c r="O22" i="1" s="1"/>
  <c r="Q22" i="1" s="1"/>
  <c r="P22" i="1" l="1"/>
  <c r="R22" i="1" s="1"/>
  <c r="N23" i="1" l="1"/>
  <c r="O23" i="1" s="1"/>
  <c r="P23" i="1" l="1"/>
  <c r="Q23" i="1"/>
  <c r="R23" i="1" l="1"/>
  <c r="N24" i="1" s="1"/>
  <c r="O24" i="1" s="1"/>
  <c r="Q24" i="1" s="1"/>
  <c r="P24" i="1" l="1"/>
  <c r="R24" i="1"/>
  <c r="N25" i="1" s="1"/>
  <c r="O25" i="1" s="1"/>
  <c r="Q25" i="1" s="1"/>
  <c r="P25" i="1" l="1"/>
  <c r="R25" i="1" l="1"/>
  <c r="N26" i="1" s="1"/>
  <c r="O26" i="1" s="1"/>
  <c r="Q26" i="1" s="1"/>
  <c r="P26" i="1" l="1"/>
  <c r="R26" i="1" l="1"/>
  <c r="N27" i="1" s="1"/>
  <c r="O27" i="1" s="1"/>
  <c r="Q27" i="1" s="1"/>
  <c r="P27" i="1" l="1"/>
  <c r="R27" i="1" l="1"/>
  <c r="N28" i="1" s="1"/>
  <c r="O28" i="1" s="1"/>
  <c r="Q28" i="1" s="1"/>
  <c r="P28" i="1" l="1"/>
  <c r="R28" i="1" l="1"/>
  <c r="N29" i="1" s="1"/>
  <c r="O29" i="1" s="1"/>
  <c r="Q29" i="1" s="1"/>
  <c r="P29" i="1" l="1"/>
  <c r="R29" i="1" s="1"/>
  <c r="N30" i="1" l="1"/>
  <c r="O30" i="1" s="1"/>
  <c r="Q30" i="1" s="1"/>
  <c r="P30" i="1" l="1"/>
  <c r="R30" i="1" l="1"/>
  <c r="N31" i="1" s="1"/>
  <c r="O31" i="1" s="1"/>
  <c r="Q31" i="1" s="1"/>
  <c r="P31" i="1" l="1"/>
  <c r="R31" i="1" l="1"/>
  <c r="N32" i="1" s="1"/>
  <c r="O32" i="1" s="1"/>
  <c r="Q32" i="1" s="1"/>
  <c r="P32" i="1" l="1"/>
  <c r="R32" i="1" l="1"/>
  <c r="N33" i="1" s="1"/>
  <c r="O33" i="1" s="1"/>
  <c r="Q33" i="1" s="1"/>
  <c r="P33" i="1" l="1"/>
  <c r="R33" i="1" l="1"/>
  <c r="N34" i="1" s="1"/>
  <c r="O34" i="1" s="1"/>
  <c r="Q34" i="1" s="1"/>
  <c r="P34" i="1" l="1"/>
  <c r="R34" i="1" s="1"/>
  <c r="N35" i="1" l="1"/>
  <c r="O35" i="1" s="1"/>
  <c r="Q35" i="1" s="1"/>
  <c r="P35" i="1" l="1"/>
  <c r="R35" i="1" s="1"/>
  <c r="N36" i="1" l="1"/>
  <c r="O36" i="1" s="1"/>
  <c r="Q36" i="1" s="1"/>
  <c r="P36" i="1" l="1"/>
  <c r="R36" i="1" s="1"/>
  <c r="N37" i="1" l="1"/>
  <c r="O37" i="1" s="1"/>
  <c r="Q37" i="1" s="1"/>
  <c r="P37" i="1" l="1"/>
  <c r="R37" i="1" l="1"/>
  <c r="N38" i="1" s="1"/>
  <c r="O38" i="1" s="1"/>
  <c r="Q38" i="1" s="1"/>
  <c r="P38" i="1" l="1"/>
  <c r="R38" i="1" l="1"/>
  <c r="N39" i="1" s="1"/>
  <c r="O39" i="1" l="1"/>
  <c r="Q39" i="1" s="1"/>
  <c r="P39" i="1" l="1"/>
  <c r="R39" i="1" s="1"/>
  <c r="N40" i="1" s="1"/>
  <c r="O40" i="1" s="1"/>
  <c r="Q40" i="1" s="1"/>
  <c r="P40" i="1" l="1"/>
  <c r="R40" i="1" s="1"/>
  <c r="N41" i="1" l="1"/>
  <c r="O41" i="1" s="1"/>
  <c r="Q41" i="1" s="1"/>
  <c r="P41" i="1" l="1"/>
  <c r="R41" i="1" s="1"/>
  <c r="N42" i="1" l="1"/>
  <c r="O42" i="1" s="1"/>
  <c r="P42" i="1" l="1"/>
  <c r="Q42" i="1"/>
  <c r="R42" i="1" l="1"/>
  <c r="N43" i="1" s="1"/>
  <c r="O43" i="1" s="1"/>
  <c r="Q43" i="1" s="1"/>
  <c r="P43" i="1" l="1"/>
  <c r="R43" i="1" s="1"/>
  <c r="N44" i="1" s="1"/>
  <c r="O44" i="1" s="1"/>
  <c r="P44" i="1" l="1"/>
  <c r="Q44" i="1"/>
  <c r="R44" i="1" l="1"/>
  <c r="N45" i="1" s="1"/>
  <c r="O45" i="1" s="1"/>
  <c r="Q45" i="1" s="1"/>
  <c r="P45" i="1" l="1"/>
  <c r="R45" i="1" s="1"/>
  <c r="N46" i="1" s="1"/>
  <c r="O46" i="1" s="1"/>
  <c r="Q46" i="1" s="1"/>
  <c r="P46" i="1" l="1"/>
  <c r="R46" i="1" l="1"/>
  <c r="N47" i="1" s="1"/>
  <c r="O47" i="1" s="1"/>
  <c r="Q47" i="1" s="1"/>
  <c r="P47" i="1" l="1"/>
  <c r="R47" i="1" l="1"/>
  <c r="N48" i="1" s="1"/>
  <c r="O48" i="1" s="1"/>
  <c r="Q48" i="1" s="1"/>
  <c r="P48" i="1" l="1"/>
  <c r="R48" i="1" l="1"/>
  <c r="N49" i="1" s="1"/>
  <c r="O49" i="1" s="1"/>
  <c r="Q49" i="1" s="1"/>
  <c r="P49" i="1" l="1"/>
  <c r="R49" i="1" l="1"/>
  <c r="N50" i="1" s="1"/>
  <c r="O50" i="1" s="1"/>
  <c r="Q50" i="1" s="1"/>
  <c r="P50" i="1" l="1"/>
  <c r="R50" i="1" l="1"/>
  <c r="N51" i="1" s="1"/>
  <c r="O51" i="1" s="1"/>
  <c r="Q51" i="1" s="1"/>
  <c r="P51" i="1" l="1"/>
  <c r="R51" i="1" l="1"/>
  <c r="N52" i="1" s="1"/>
  <c r="O52" i="1" s="1"/>
  <c r="Q52" i="1" s="1"/>
  <c r="P52" i="1" l="1"/>
  <c r="R52" i="1" l="1"/>
  <c r="N53" i="1" s="1"/>
  <c r="O53" i="1" s="1"/>
  <c r="Q53" i="1" s="1"/>
  <c r="P53" i="1" l="1"/>
  <c r="R53" i="1" l="1"/>
  <c r="N54" i="1" s="1"/>
  <c r="O54" i="1" s="1"/>
  <c r="Q54" i="1" s="1"/>
  <c r="P54" i="1" l="1"/>
  <c r="R54" i="1" l="1"/>
  <c r="N55" i="1" s="1"/>
  <c r="O55" i="1" s="1"/>
  <c r="Q55" i="1" s="1"/>
  <c r="P55" i="1" l="1"/>
  <c r="R55" i="1" l="1"/>
  <c r="N56" i="1" s="1"/>
  <c r="O56" i="1" s="1"/>
  <c r="Q56" i="1" s="1"/>
  <c r="P56" i="1" l="1"/>
  <c r="R56" i="1" l="1"/>
  <c r="N57" i="1" s="1"/>
  <c r="O57" i="1" s="1"/>
  <c r="Q57" i="1" s="1"/>
  <c r="P57" i="1" l="1"/>
  <c r="R57" i="1" l="1"/>
  <c r="N58" i="1" s="1"/>
  <c r="O58" i="1" s="1"/>
  <c r="Q58" i="1" s="1"/>
  <c r="P58" i="1" l="1"/>
  <c r="R58" i="1" l="1"/>
  <c r="N59" i="1" s="1"/>
  <c r="O59" i="1" s="1"/>
  <c r="Q59" i="1" s="1"/>
  <c r="P59" i="1" l="1"/>
  <c r="R59" i="1" s="1"/>
  <c r="N60" i="1" s="1"/>
  <c r="O60" i="1" l="1"/>
  <c r="Q60" i="1" s="1"/>
  <c r="P60" i="1" l="1"/>
  <c r="R60" i="1" l="1"/>
  <c r="N61" i="1" s="1"/>
  <c r="O61" i="1" s="1"/>
  <c r="Q61" i="1" s="1"/>
  <c r="P61" i="1" l="1"/>
  <c r="R61" i="1" l="1"/>
  <c r="N62" i="1" s="1"/>
  <c r="O62" i="1" s="1"/>
  <c r="Q62" i="1" s="1"/>
  <c r="P62" i="1" l="1"/>
  <c r="R62" i="1" l="1"/>
  <c r="N63" i="1" s="1"/>
  <c r="O63" i="1" s="1"/>
  <c r="Q63" i="1" s="1"/>
  <c r="P63" i="1" l="1"/>
  <c r="R63" i="1" s="1"/>
  <c r="N64" i="1" s="1"/>
  <c r="O64" i="1" l="1"/>
  <c r="Q64" i="1" s="1"/>
  <c r="P64" i="1" l="1"/>
  <c r="R64" i="1" s="1"/>
  <c r="N65" i="1" s="1"/>
  <c r="O65" i="1" l="1"/>
  <c r="Q65" i="1" s="1"/>
  <c r="P65" i="1" l="1"/>
  <c r="R65" i="1" l="1"/>
  <c r="N66" i="1" s="1"/>
  <c r="O66" i="1" s="1"/>
  <c r="Q66" i="1" s="1"/>
  <c r="P66" i="1" l="1"/>
  <c r="R66" i="1" l="1"/>
  <c r="N67" i="1" s="1"/>
  <c r="O67" i="1" s="1"/>
  <c r="Q67" i="1" s="1"/>
  <c r="P67" i="1" l="1"/>
  <c r="R67" i="1" l="1"/>
  <c r="N68" i="1" s="1"/>
  <c r="O68" i="1" s="1"/>
  <c r="Q68" i="1" s="1"/>
  <c r="P68" i="1" l="1"/>
  <c r="R68" i="1" l="1"/>
  <c r="N69" i="1" s="1"/>
  <c r="O69" i="1" s="1"/>
  <c r="Q69" i="1" s="1"/>
  <c r="P69" i="1" l="1"/>
  <c r="R69" i="1" l="1"/>
  <c r="N70" i="1" s="1"/>
  <c r="O70" i="1" s="1"/>
  <c r="Q70" i="1" s="1"/>
  <c r="P70" i="1" l="1"/>
  <c r="R70" i="1" l="1"/>
  <c r="N71" i="1" s="1"/>
  <c r="O71" i="1" s="1"/>
  <c r="Q71" i="1" s="1"/>
  <c r="P71" i="1" l="1"/>
  <c r="R71" i="1" l="1"/>
  <c r="N72" i="1" s="1"/>
  <c r="O72" i="1" s="1"/>
  <c r="Q72" i="1" s="1"/>
  <c r="P72" i="1" l="1"/>
  <c r="R72" i="1" l="1"/>
  <c r="N73" i="1" s="1"/>
  <c r="O73" i="1" s="1"/>
  <c r="Q73" i="1" s="1"/>
  <c r="P73" i="1" l="1"/>
  <c r="R73" i="1" l="1"/>
  <c r="N74" i="1" s="1"/>
  <c r="O74" i="1" s="1"/>
  <c r="Q74" i="1" s="1"/>
  <c r="P74" i="1" l="1"/>
  <c r="R74" i="1" l="1"/>
  <c r="N75" i="1" s="1"/>
  <c r="O75" i="1" s="1"/>
  <c r="Q75" i="1" s="1"/>
  <c r="P75" i="1" l="1"/>
  <c r="R75" i="1" l="1"/>
  <c r="N76" i="1" s="1"/>
  <c r="O76" i="1" s="1"/>
  <c r="Q76" i="1" s="1"/>
  <c r="P76" i="1" l="1"/>
  <c r="R76" i="1" l="1"/>
  <c r="N77" i="1" s="1"/>
  <c r="O77" i="1" s="1"/>
  <c r="Q77" i="1" s="1"/>
  <c r="P77" i="1" l="1"/>
  <c r="R77" i="1" l="1"/>
  <c r="N78" i="1" s="1"/>
  <c r="O78" i="1" s="1"/>
  <c r="Q78" i="1" s="1"/>
  <c r="P78" i="1" l="1"/>
  <c r="R78" i="1" s="1"/>
  <c r="N79" i="1" s="1"/>
  <c r="O79" i="1" l="1"/>
  <c r="Q79" i="1" s="1"/>
  <c r="P79" i="1" l="1"/>
  <c r="R79" i="1" s="1"/>
  <c r="N80" i="1" s="1"/>
  <c r="O80" i="1" l="1"/>
  <c r="Q80" i="1" s="1"/>
  <c r="P80" i="1" l="1"/>
  <c r="R80" i="1" s="1"/>
  <c r="N81" i="1" s="1"/>
  <c r="O81" i="1" l="1"/>
  <c r="Q81" i="1" s="1"/>
  <c r="P81" i="1" l="1"/>
  <c r="R81" i="1" l="1"/>
  <c r="N82" i="1" s="1"/>
  <c r="O82" i="1" s="1"/>
  <c r="Q82" i="1" s="1"/>
  <c r="P82" i="1" l="1"/>
  <c r="R82" i="1" s="1"/>
  <c r="N83" i="1" l="1"/>
  <c r="O83" i="1" s="1"/>
  <c r="Q83" i="1" s="1"/>
  <c r="P83" i="1" l="1"/>
  <c r="R83" i="1" s="1"/>
  <c r="N84" i="1" s="1"/>
  <c r="O84" i="1" l="1"/>
  <c r="Q84" i="1" s="1"/>
  <c r="P84" i="1" l="1"/>
  <c r="R84" i="1" s="1"/>
  <c r="N85" i="1" s="1"/>
  <c r="O85" i="1" l="1"/>
  <c r="Q85" i="1" s="1"/>
  <c r="P85" i="1" l="1"/>
  <c r="R85" i="1" l="1"/>
  <c r="N86" i="1" s="1"/>
  <c r="O86" i="1" s="1"/>
  <c r="Q86" i="1" s="1"/>
  <c r="P86" i="1" l="1"/>
  <c r="R86" i="1" s="1"/>
  <c r="N87" i="1" s="1"/>
  <c r="O87" i="1" l="1"/>
  <c r="Q87" i="1" s="1"/>
  <c r="P87" i="1" l="1"/>
  <c r="R87" i="1" l="1"/>
  <c r="N88" i="1" s="1"/>
  <c r="O88" i="1" s="1"/>
  <c r="Q88" i="1" s="1"/>
  <c r="P88" i="1" l="1"/>
  <c r="R88" i="1" l="1"/>
  <c r="N89" i="1" s="1"/>
  <c r="O89" i="1" s="1"/>
  <c r="Q89" i="1" s="1"/>
  <c r="P89" i="1" l="1"/>
  <c r="R89" i="1" l="1"/>
  <c r="N90" i="1" s="1"/>
  <c r="O90" i="1" s="1"/>
  <c r="Q90" i="1" s="1"/>
  <c r="P90" i="1" l="1"/>
  <c r="R90" i="1" l="1"/>
  <c r="N91" i="1" s="1"/>
  <c r="O91" i="1" s="1"/>
  <c r="Q91" i="1" s="1"/>
  <c r="P91" i="1" l="1"/>
  <c r="R91" i="1" s="1"/>
  <c r="N92" i="1" l="1"/>
  <c r="O92" i="1" s="1"/>
  <c r="Q92" i="1" s="1"/>
  <c r="P92" i="1" l="1"/>
  <c r="R92" i="1" l="1"/>
  <c r="N93" i="1" s="1"/>
  <c r="O93" i="1" s="1"/>
  <c r="Q93" i="1" s="1"/>
  <c r="P93" i="1" l="1"/>
  <c r="R93" i="1" l="1"/>
  <c r="N94" i="1" s="1"/>
  <c r="O94" i="1" s="1"/>
  <c r="Q94" i="1" s="1"/>
  <c r="P94" i="1" l="1"/>
  <c r="R94" i="1" l="1"/>
  <c r="N95" i="1" s="1"/>
  <c r="O95" i="1" s="1"/>
  <c r="Q95" i="1" s="1"/>
  <c r="P95" i="1" l="1"/>
  <c r="R95" i="1" l="1"/>
  <c r="N96" i="1" s="1"/>
  <c r="O96" i="1" s="1"/>
  <c r="Q96" i="1" s="1"/>
  <c r="P96" i="1" l="1"/>
  <c r="R96" i="1" l="1"/>
  <c r="N97" i="1" s="1"/>
  <c r="O97" i="1" s="1"/>
  <c r="Q97" i="1" s="1"/>
  <c r="P97" i="1" l="1"/>
  <c r="R97" i="1" l="1"/>
  <c r="N98" i="1" s="1"/>
  <c r="O98" i="1" s="1"/>
  <c r="Q98" i="1" s="1"/>
  <c r="P98" i="1" l="1"/>
  <c r="R98" i="1" l="1"/>
  <c r="N99" i="1" s="1"/>
  <c r="O99" i="1" s="1"/>
  <c r="Q99" i="1" s="1"/>
  <c r="P99" i="1" l="1"/>
  <c r="R99" i="1" l="1"/>
  <c r="N100" i="1" s="1"/>
  <c r="O100" i="1" s="1"/>
  <c r="Q100" i="1" s="1"/>
  <c r="P100" i="1" l="1"/>
  <c r="R100" i="1" l="1"/>
  <c r="N101" i="1" s="1"/>
  <c r="O101" i="1" s="1"/>
  <c r="Q101" i="1" s="1"/>
  <c r="P101" i="1" l="1"/>
  <c r="R101" i="1" l="1"/>
  <c r="N102" i="1" s="1"/>
  <c r="O102" i="1" s="1"/>
  <c r="Q102" i="1" s="1"/>
  <c r="P102" i="1" l="1"/>
  <c r="R102" i="1" l="1"/>
  <c r="N103" i="1" s="1"/>
  <c r="O103" i="1" s="1"/>
  <c r="Q103" i="1" s="1"/>
  <c r="P103" i="1" l="1"/>
  <c r="R103" i="1" l="1"/>
  <c r="N104" i="1" s="1"/>
  <c r="O104" i="1" s="1"/>
  <c r="Q104" i="1" s="1"/>
  <c r="P104" i="1" l="1"/>
  <c r="R104" i="1" l="1"/>
  <c r="N105" i="1" s="1"/>
  <c r="O105" i="1" s="1"/>
  <c r="Q105" i="1" s="1"/>
  <c r="P105" i="1" l="1"/>
  <c r="R105" i="1" l="1"/>
  <c r="N106" i="1" s="1"/>
  <c r="O106" i="1" s="1"/>
  <c r="Q106" i="1" s="1"/>
  <c r="P106" i="1" l="1"/>
  <c r="R106" i="1" l="1"/>
  <c r="N107" i="1" s="1"/>
  <c r="O107" i="1" s="1"/>
  <c r="Q107" i="1" s="1"/>
  <c r="P107" i="1" l="1"/>
  <c r="R107" i="1" s="1"/>
  <c r="N108" i="1" s="1"/>
  <c r="O108" i="1" l="1"/>
  <c r="Q108" i="1" s="1"/>
  <c r="P108" i="1" l="1"/>
  <c r="R108" i="1" l="1"/>
  <c r="N109" i="1" s="1"/>
  <c r="O109" i="1" s="1"/>
  <c r="Q109" i="1" s="1"/>
  <c r="P109" i="1" l="1"/>
  <c r="R109" i="1" l="1"/>
  <c r="N110" i="1" s="1"/>
  <c r="O110" i="1" s="1"/>
  <c r="Q110" i="1" s="1"/>
  <c r="P110" i="1" l="1"/>
  <c r="R110" i="1" l="1"/>
  <c r="N111" i="1" s="1"/>
  <c r="O111" i="1" s="1"/>
  <c r="Q111" i="1" s="1"/>
  <c r="P111" i="1" l="1"/>
  <c r="R111" i="1" l="1"/>
  <c r="N112" i="1" s="1"/>
  <c r="O112" i="1" s="1"/>
  <c r="Q112" i="1" s="1"/>
  <c r="P112" i="1" l="1"/>
  <c r="R112" i="1" l="1"/>
  <c r="N113" i="1" s="1"/>
  <c r="O113" i="1" s="1"/>
  <c r="Q113" i="1" s="1"/>
  <c r="P113" i="1" l="1"/>
  <c r="R113" i="1" l="1"/>
  <c r="N114" i="1" s="1"/>
  <c r="O114" i="1" s="1"/>
  <c r="Q114" i="1" s="1"/>
  <c r="P114" i="1" l="1"/>
  <c r="R114" i="1" l="1"/>
  <c r="N115" i="1" s="1"/>
  <c r="O115" i="1" s="1"/>
  <c r="Q115" i="1" s="1"/>
  <c r="P115" i="1" l="1"/>
  <c r="R115" i="1" l="1"/>
  <c r="N116" i="1" s="1"/>
  <c r="O116" i="1" s="1"/>
  <c r="Q116" i="1" s="1"/>
  <c r="P116" i="1" l="1"/>
  <c r="R116" i="1" l="1"/>
  <c r="N117" i="1" s="1"/>
  <c r="O117" i="1" s="1"/>
  <c r="Q117" i="1" s="1"/>
  <c r="P117" i="1" l="1"/>
  <c r="R117" i="1" l="1"/>
  <c r="N118" i="1" s="1"/>
  <c r="O118" i="1" s="1"/>
  <c r="Q118" i="1" s="1"/>
  <c r="P118" i="1" l="1"/>
  <c r="R118" i="1" l="1"/>
  <c r="N119" i="1" s="1"/>
  <c r="O119" i="1" s="1"/>
  <c r="Q119" i="1" s="1"/>
  <c r="P119" i="1" l="1"/>
  <c r="R119" i="1" l="1"/>
  <c r="N120" i="1" s="1"/>
  <c r="O120" i="1" s="1"/>
  <c r="Q120" i="1" s="1"/>
  <c r="P120" i="1" l="1"/>
  <c r="R120" i="1" l="1"/>
  <c r="N121" i="1" s="1"/>
  <c r="O121" i="1" s="1"/>
  <c r="Q121" i="1" s="1"/>
  <c r="P121" i="1" l="1"/>
  <c r="R121" i="1" l="1"/>
  <c r="N122" i="1" s="1"/>
  <c r="O122" i="1" s="1"/>
  <c r="Q122" i="1" s="1"/>
  <c r="P122" i="1" l="1"/>
  <c r="R122" i="1" s="1"/>
  <c r="N123" i="1" s="1"/>
  <c r="O123" i="1" l="1"/>
  <c r="Q123" i="1" s="1"/>
  <c r="P123" i="1" l="1"/>
  <c r="R123" i="1" l="1"/>
  <c r="N124" i="1" s="1"/>
  <c r="O124" i="1" s="1"/>
  <c r="Q124" i="1" s="1"/>
  <c r="P124" i="1" l="1"/>
  <c r="R124" i="1" l="1"/>
  <c r="N125" i="1" s="1"/>
  <c r="O125" i="1" s="1"/>
  <c r="Q125" i="1" s="1"/>
  <c r="P125" i="1" l="1"/>
  <c r="R125" i="1" l="1"/>
  <c r="N126" i="1" s="1"/>
  <c r="O126" i="1" s="1"/>
  <c r="Q126" i="1" s="1"/>
  <c r="P126" i="1" l="1"/>
  <c r="R126" i="1" s="1"/>
  <c r="N127" i="1" s="1"/>
  <c r="O127" i="1" l="1"/>
  <c r="Q127" i="1" s="1"/>
  <c r="P127" i="1" l="1"/>
  <c r="R127" i="1" l="1"/>
  <c r="N128" i="1" s="1"/>
  <c r="O128" i="1" s="1"/>
  <c r="Q128" i="1" s="1"/>
  <c r="P128" i="1" l="1"/>
  <c r="R128" i="1" s="1"/>
  <c r="N129" i="1" s="1"/>
  <c r="O129" i="1" l="1"/>
  <c r="Q129" i="1" s="1"/>
  <c r="P129" i="1" l="1"/>
  <c r="R129" i="1" s="1"/>
  <c r="N130" i="1" s="1"/>
  <c r="O130" i="1" l="1"/>
  <c r="Q130" i="1" s="1"/>
  <c r="P130" i="1" l="1"/>
  <c r="R130" i="1" s="1"/>
  <c r="N131" i="1" s="1"/>
  <c r="O131" i="1" l="1"/>
  <c r="Q131" i="1" s="1"/>
  <c r="P131" i="1" l="1"/>
  <c r="R131" i="1" l="1"/>
  <c r="N132" i="1" s="1"/>
  <c r="O132" i="1" s="1"/>
  <c r="Q132" i="1" s="1"/>
  <c r="P132" i="1" l="1"/>
  <c r="R132" i="1" l="1"/>
  <c r="N133" i="1" s="1"/>
  <c r="O133" i="1" s="1"/>
  <c r="Q133" i="1" s="1"/>
  <c r="P133" i="1" l="1"/>
  <c r="R133" i="1" l="1"/>
  <c r="N134" i="1" s="1"/>
  <c r="O134" i="1" s="1"/>
  <c r="Q134" i="1" s="1"/>
  <c r="P134" i="1" l="1"/>
  <c r="R134" i="1" l="1"/>
  <c r="N135" i="1" s="1"/>
  <c r="O135" i="1" s="1"/>
  <c r="Q135" i="1" s="1"/>
  <c r="P135" i="1" l="1"/>
  <c r="R135" i="1" l="1"/>
  <c r="N136" i="1" s="1"/>
  <c r="O136" i="1" s="1"/>
  <c r="Q136" i="1" s="1"/>
  <c r="P136" i="1" l="1"/>
  <c r="R136" i="1" l="1"/>
  <c r="N137" i="1" s="1"/>
  <c r="O137" i="1" s="1"/>
  <c r="Q137" i="1" s="1"/>
  <c r="P137" i="1" l="1"/>
  <c r="R137" i="1" l="1"/>
  <c r="N138" i="1" s="1"/>
  <c r="O138" i="1" s="1"/>
  <c r="Q138" i="1" s="1"/>
  <c r="P138" i="1" l="1"/>
  <c r="R138" i="1" l="1"/>
  <c r="N139" i="1" s="1"/>
  <c r="O139" i="1" s="1"/>
  <c r="Q139" i="1" s="1"/>
  <c r="P139" i="1" l="1"/>
  <c r="R139" i="1" l="1"/>
  <c r="N140" i="1" s="1"/>
  <c r="O140" i="1" s="1"/>
  <c r="Q140" i="1" s="1"/>
  <c r="P140" i="1" l="1"/>
  <c r="R140" i="1" l="1"/>
  <c r="N141" i="1" s="1"/>
  <c r="O141" i="1" s="1"/>
  <c r="Q141" i="1" s="1"/>
  <c r="P141" i="1" l="1"/>
  <c r="R141" i="1" l="1"/>
  <c r="N142" i="1" s="1"/>
  <c r="O142" i="1" s="1"/>
  <c r="Q142" i="1" s="1"/>
  <c r="P142" i="1" l="1"/>
  <c r="R142" i="1" l="1"/>
  <c r="N143" i="1" s="1"/>
  <c r="O143" i="1" s="1"/>
  <c r="Q143" i="1" s="1"/>
  <c r="P143" i="1" l="1"/>
  <c r="R143" i="1" l="1"/>
  <c r="N144" i="1" s="1"/>
  <c r="O144" i="1" s="1"/>
  <c r="Q144" i="1" s="1"/>
  <c r="P144" i="1" l="1"/>
  <c r="R144" i="1" l="1"/>
  <c r="N145" i="1" s="1"/>
  <c r="O145" i="1" s="1"/>
  <c r="Q145" i="1" s="1"/>
  <c r="P145" i="1" l="1"/>
  <c r="R145" i="1" l="1"/>
  <c r="N146" i="1" s="1"/>
  <c r="O146" i="1" s="1"/>
  <c r="Q146" i="1" s="1"/>
  <c r="P146" i="1" l="1"/>
  <c r="R146" i="1" l="1"/>
  <c r="N147" i="1" s="1"/>
  <c r="O147" i="1" s="1"/>
  <c r="Q147" i="1" s="1"/>
  <c r="P147" i="1" l="1"/>
  <c r="R147" i="1" l="1"/>
  <c r="N148" i="1" s="1"/>
  <c r="O148" i="1" s="1"/>
  <c r="Q148" i="1" s="1"/>
  <c r="P148" i="1" l="1"/>
  <c r="R148" i="1" l="1"/>
  <c r="N149" i="1" s="1"/>
  <c r="O149" i="1" s="1"/>
  <c r="Q149" i="1" s="1"/>
  <c r="P149" i="1" l="1"/>
  <c r="R149" i="1" l="1"/>
  <c r="N150" i="1" s="1"/>
  <c r="O150" i="1" s="1"/>
  <c r="Q150" i="1" s="1"/>
  <c r="P150" i="1" l="1"/>
  <c r="R150" i="1" l="1"/>
  <c r="N151" i="1" s="1"/>
  <c r="O151" i="1" s="1"/>
  <c r="Q151" i="1" s="1"/>
  <c r="P151" i="1" l="1"/>
  <c r="R151" i="1" l="1"/>
  <c r="N152" i="1" s="1"/>
  <c r="O152" i="1" s="1"/>
  <c r="Q152" i="1" s="1"/>
  <c r="P152" i="1" l="1"/>
  <c r="R152" i="1" l="1"/>
  <c r="N153" i="1" s="1"/>
  <c r="O153" i="1" s="1"/>
  <c r="Q153" i="1" s="1"/>
  <c r="P153" i="1" l="1"/>
  <c r="R153" i="1" l="1"/>
  <c r="N154" i="1" s="1"/>
  <c r="O154" i="1" s="1"/>
  <c r="Q154" i="1" s="1"/>
  <c r="P154" i="1" l="1"/>
  <c r="R154" i="1" l="1"/>
  <c r="N155" i="1" s="1"/>
  <c r="O155" i="1" s="1"/>
  <c r="Q155" i="1" s="1"/>
  <c r="P155" i="1" l="1"/>
  <c r="R155" i="1" l="1"/>
  <c r="N156" i="1" s="1"/>
  <c r="O156" i="1" s="1"/>
  <c r="Q156" i="1" s="1"/>
  <c r="P156" i="1" l="1"/>
  <c r="R156" i="1" l="1"/>
  <c r="N157" i="1" s="1"/>
  <c r="O157" i="1" s="1"/>
  <c r="Q157" i="1" s="1"/>
  <c r="P157" i="1" l="1"/>
  <c r="R157" i="1" l="1"/>
  <c r="N158" i="1" s="1"/>
  <c r="O158" i="1" s="1"/>
  <c r="Q158" i="1" s="1"/>
  <c r="P158" i="1" l="1"/>
  <c r="R158" i="1" l="1"/>
  <c r="N159" i="1" s="1"/>
  <c r="O159" i="1" s="1"/>
  <c r="Q159" i="1" s="1"/>
  <c r="P159" i="1" l="1"/>
  <c r="R159" i="1" l="1"/>
  <c r="N160" i="1" s="1"/>
  <c r="O160" i="1" s="1"/>
  <c r="Q160" i="1" s="1"/>
  <c r="P160" i="1" l="1"/>
  <c r="R160" i="1" l="1"/>
  <c r="N161" i="1" s="1"/>
  <c r="O161" i="1" s="1"/>
  <c r="Q161" i="1" s="1"/>
  <c r="P161" i="1" l="1"/>
  <c r="R161" i="1" l="1"/>
  <c r="N162" i="1" s="1"/>
  <c r="O162" i="1" s="1"/>
  <c r="Q162" i="1" s="1"/>
  <c r="P162" i="1" l="1"/>
  <c r="R162" i="1" l="1"/>
  <c r="N163" i="1" s="1"/>
  <c r="O163" i="1" s="1"/>
  <c r="Q163" i="1" s="1"/>
  <c r="P163" i="1" l="1"/>
  <c r="R163" i="1" l="1"/>
  <c r="N164" i="1" s="1"/>
  <c r="O164" i="1" s="1"/>
  <c r="Q164" i="1" s="1"/>
  <c r="P164" i="1" l="1"/>
  <c r="R164" i="1" l="1"/>
  <c r="N165" i="1" s="1"/>
  <c r="O165" i="1" s="1"/>
  <c r="Q165" i="1" s="1"/>
  <c r="P165" i="1" l="1"/>
  <c r="R165" i="1" l="1"/>
  <c r="N166" i="1" s="1"/>
  <c r="O166" i="1" s="1"/>
  <c r="Q166" i="1" s="1"/>
  <c r="P166" i="1" l="1"/>
  <c r="R166" i="1" l="1"/>
  <c r="N167" i="1" s="1"/>
  <c r="O167" i="1" s="1"/>
  <c r="Q167" i="1" s="1"/>
  <c r="P167" i="1" l="1"/>
  <c r="R167" i="1" l="1"/>
  <c r="N168" i="1" s="1"/>
  <c r="O168" i="1" s="1"/>
  <c r="Q168" i="1" s="1"/>
  <c r="P168" i="1" l="1"/>
  <c r="R168" i="1" l="1"/>
  <c r="N169" i="1" s="1"/>
  <c r="O169" i="1" s="1"/>
  <c r="Q169" i="1" s="1"/>
  <c r="P169" i="1" l="1"/>
  <c r="R169" i="1" l="1"/>
  <c r="N170" i="1" s="1"/>
  <c r="O170" i="1" s="1"/>
  <c r="Q170" i="1" s="1"/>
  <c r="P170" i="1" l="1"/>
  <c r="R170" i="1" l="1"/>
  <c r="N171" i="1" s="1"/>
  <c r="O171" i="1" s="1"/>
  <c r="Q171" i="1" s="1"/>
  <c r="P171" i="1" l="1"/>
  <c r="R171" i="1" l="1"/>
  <c r="N172" i="1" s="1"/>
  <c r="O172" i="1" s="1"/>
  <c r="Q172" i="1" s="1"/>
  <c r="P172" i="1" l="1"/>
  <c r="R172" i="1" l="1"/>
  <c r="N173" i="1" s="1"/>
  <c r="O173" i="1" s="1"/>
  <c r="Q173" i="1" s="1"/>
  <c r="P173" i="1" l="1"/>
  <c r="R173" i="1" l="1"/>
  <c r="N174" i="1" s="1"/>
  <c r="O174" i="1" s="1"/>
  <c r="Q174" i="1" s="1"/>
  <c r="P174" i="1" l="1"/>
  <c r="R174" i="1" l="1"/>
  <c r="N175" i="1" s="1"/>
  <c r="O175" i="1" s="1"/>
  <c r="Q175" i="1" s="1"/>
  <c r="P175" i="1" l="1"/>
  <c r="R175" i="1" l="1"/>
  <c r="N176" i="1" s="1"/>
  <c r="O176" i="1" s="1"/>
  <c r="Q176" i="1" s="1"/>
  <c r="P176" i="1" l="1"/>
  <c r="R176" i="1" l="1"/>
  <c r="N177" i="1" s="1"/>
  <c r="O177" i="1" s="1"/>
  <c r="Q177" i="1" s="1"/>
  <c r="P177" i="1" l="1"/>
  <c r="R177" i="1" l="1"/>
  <c r="N178" i="1" s="1"/>
  <c r="O178" i="1" s="1"/>
  <c r="Q178" i="1" s="1"/>
  <c r="P178" i="1" l="1"/>
  <c r="R178" i="1" s="1"/>
  <c r="N179" i="1" l="1"/>
  <c r="O179" i="1" s="1"/>
  <c r="Q179" i="1" s="1"/>
  <c r="P179" i="1" l="1"/>
  <c r="R179" i="1" l="1"/>
  <c r="N180" i="1" s="1"/>
  <c r="O180" i="1" s="1"/>
  <c r="Q180" i="1" s="1"/>
  <c r="P180" i="1" l="1"/>
  <c r="R180" i="1" l="1"/>
  <c r="N181" i="1" s="1"/>
  <c r="O181" i="1" s="1"/>
  <c r="Q181" i="1" s="1"/>
  <c r="P181" i="1" l="1"/>
  <c r="R181" i="1" l="1"/>
  <c r="N182" i="1" s="1"/>
  <c r="O182" i="1" s="1"/>
  <c r="Q182" i="1" s="1"/>
  <c r="P182" i="1" l="1"/>
  <c r="R182" i="1" l="1"/>
  <c r="N183" i="1" s="1"/>
  <c r="O183" i="1" s="1"/>
  <c r="Q183" i="1" s="1"/>
  <c r="P183" i="1" l="1"/>
  <c r="R183" i="1" l="1"/>
  <c r="N184" i="1" s="1"/>
  <c r="O184" i="1" s="1"/>
  <c r="Q184" i="1" s="1"/>
  <c r="P184" i="1" l="1"/>
  <c r="R184" i="1" l="1"/>
  <c r="N185" i="1" s="1"/>
  <c r="O185" i="1" s="1"/>
  <c r="Q185" i="1" s="1"/>
  <c r="P185" i="1" l="1"/>
  <c r="R185" i="1" l="1"/>
  <c r="N186" i="1" s="1"/>
  <c r="O186" i="1" s="1"/>
  <c r="Q186" i="1" s="1"/>
  <c r="P186" i="1" l="1"/>
  <c r="R186" i="1" l="1"/>
  <c r="N187" i="1" s="1"/>
  <c r="O187" i="1" s="1"/>
  <c r="Q187" i="1" s="1"/>
  <c r="P187" i="1" l="1"/>
  <c r="R187" i="1" l="1"/>
  <c r="N188" i="1" s="1"/>
  <c r="O188" i="1" s="1"/>
  <c r="Q188" i="1" s="1"/>
  <c r="P188" i="1" l="1"/>
  <c r="R188" i="1" l="1"/>
  <c r="N189" i="1" s="1"/>
  <c r="O189" i="1" s="1"/>
  <c r="Q189" i="1" s="1"/>
  <c r="P189" i="1" l="1"/>
  <c r="R189" i="1" l="1"/>
  <c r="N190" i="1" s="1"/>
  <c r="O190" i="1" s="1"/>
  <c r="Q190" i="1" s="1"/>
  <c r="P190" i="1" l="1"/>
  <c r="R190" i="1" l="1"/>
  <c r="N191" i="1" s="1"/>
  <c r="O191" i="1" s="1"/>
  <c r="Q191" i="1" s="1"/>
  <c r="P191" i="1" l="1"/>
  <c r="R191" i="1" l="1"/>
  <c r="N192" i="1" s="1"/>
  <c r="O192" i="1" s="1"/>
  <c r="Q192" i="1" s="1"/>
  <c r="P192" i="1" l="1"/>
  <c r="R192" i="1" l="1"/>
  <c r="N193" i="1" s="1"/>
  <c r="O193" i="1" s="1"/>
  <c r="Q193" i="1" s="1"/>
  <c r="P193" i="1" l="1"/>
  <c r="R193" i="1" l="1"/>
  <c r="N194" i="1" s="1"/>
  <c r="O194" i="1" s="1"/>
  <c r="Q194" i="1" s="1"/>
  <c r="P194" i="1" l="1"/>
  <c r="R194" i="1" l="1"/>
  <c r="N195" i="1" s="1"/>
  <c r="O195" i="1" s="1"/>
  <c r="Q195" i="1" s="1"/>
  <c r="P195" i="1" l="1"/>
  <c r="R195" i="1" l="1"/>
  <c r="N196" i="1" s="1"/>
  <c r="O196" i="1" s="1"/>
  <c r="Q196" i="1" s="1"/>
  <c r="P196" i="1" l="1"/>
  <c r="R196" i="1" l="1"/>
  <c r="N197" i="1" s="1"/>
  <c r="O197" i="1" s="1"/>
  <c r="Q197" i="1" s="1"/>
  <c r="P197" i="1" l="1"/>
  <c r="R197" i="1" l="1"/>
  <c r="N198" i="1" s="1"/>
  <c r="O198" i="1" s="1"/>
  <c r="Q198" i="1" s="1"/>
  <c r="P198" i="1" l="1"/>
  <c r="R198" i="1" l="1"/>
  <c r="N199" i="1" s="1"/>
  <c r="O199" i="1" s="1"/>
  <c r="Q199" i="1" s="1"/>
  <c r="P199" i="1" l="1"/>
  <c r="R199" i="1" l="1"/>
  <c r="N200" i="1" s="1"/>
  <c r="O200" i="1" s="1"/>
  <c r="Q200" i="1" s="1"/>
  <c r="P200" i="1" l="1"/>
  <c r="R200" i="1" l="1"/>
  <c r="N201" i="1" s="1"/>
  <c r="O201" i="1" s="1"/>
  <c r="Q201" i="1" s="1"/>
  <c r="P201" i="1" l="1"/>
  <c r="R201" i="1" l="1"/>
  <c r="N202" i="1" s="1"/>
  <c r="O202" i="1" s="1"/>
  <c r="Q202" i="1" s="1"/>
  <c r="P202" i="1" l="1"/>
  <c r="R202" i="1" l="1"/>
  <c r="N203" i="1" s="1"/>
  <c r="O203" i="1" s="1"/>
  <c r="Q203" i="1" s="1"/>
  <c r="P203" i="1" l="1"/>
  <c r="R203" i="1" l="1"/>
  <c r="N204" i="1" s="1"/>
  <c r="O204" i="1" s="1"/>
  <c r="Q204" i="1" s="1"/>
  <c r="P204" i="1" l="1"/>
  <c r="R204" i="1" l="1"/>
  <c r="N205" i="1" s="1"/>
  <c r="O205" i="1" s="1"/>
  <c r="Q205" i="1" s="1"/>
  <c r="P205" i="1" l="1"/>
  <c r="R205" i="1" l="1"/>
  <c r="N206" i="1" s="1"/>
  <c r="O206" i="1" s="1"/>
  <c r="Q206" i="1" s="1"/>
  <c r="P206" i="1" l="1"/>
  <c r="R206" i="1" l="1"/>
  <c r="N207" i="1" s="1"/>
  <c r="O207" i="1" s="1"/>
  <c r="Q207" i="1" s="1"/>
  <c r="P207" i="1" l="1"/>
  <c r="R207" i="1" l="1"/>
  <c r="N208" i="1" s="1"/>
  <c r="O208" i="1" s="1"/>
  <c r="Q208" i="1" s="1"/>
  <c r="P208" i="1" l="1"/>
  <c r="R208" i="1" l="1"/>
  <c r="N209" i="1" s="1"/>
  <c r="O209" i="1" s="1"/>
  <c r="Q209" i="1" s="1"/>
  <c r="P209" i="1" l="1"/>
  <c r="R209" i="1" l="1"/>
  <c r="N210" i="1" s="1"/>
  <c r="O210" i="1" s="1"/>
  <c r="Q210" i="1" s="1"/>
  <c r="P210" i="1" l="1"/>
  <c r="R210" i="1" l="1"/>
  <c r="N211" i="1" s="1"/>
  <c r="O211" i="1" s="1"/>
  <c r="Q211" i="1" s="1"/>
  <c r="P211" i="1" l="1"/>
  <c r="R211" i="1" l="1"/>
  <c r="N212" i="1" s="1"/>
  <c r="O212" i="1" s="1"/>
  <c r="Q212" i="1" s="1"/>
  <c r="P212" i="1" l="1"/>
  <c r="R212" i="1" l="1"/>
  <c r="N213" i="1" s="1"/>
  <c r="O213" i="1" s="1"/>
  <c r="Q213" i="1" s="1"/>
  <c r="P213" i="1" l="1"/>
  <c r="R213" i="1" l="1"/>
  <c r="N214" i="1" s="1"/>
  <c r="O214" i="1" s="1"/>
  <c r="Q214" i="1" s="1"/>
  <c r="P214" i="1" l="1"/>
  <c r="R214" i="1" l="1"/>
  <c r="N215" i="1" s="1"/>
  <c r="O215" i="1" s="1"/>
  <c r="Q215" i="1" s="1"/>
  <c r="P215" i="1" l="1"/>
  <c r="R215" i="1" l="1"/>
  <c r="N216" i="1" s="1"/>
  <c r="O216" i="1" s="1"/>
  <c r="Q216" i="1" s="1"/>
  <c r="P216" i="1" l="1"/>
  <c r="R216" i="1" l="1"/>
  <c r="N217" i="1" s="1"/>
  <c r="O217" i="1" s="1"/>
  <c r="Q217" i="1" s="1"/>
  <c r="P217" i="1" l="1"/>
  <c r="R217" i="1" l="1"/>
  <c r="N218" i="1" s="1"/>
  <c r="O218" i="1" s="1"/>
  <c r="Q218" i="1" s="1"/>
  <c r="P218" i="1" l="1"/>
  <c r="R218" i="1" l="1"/>
  <c r="N219" i="1" s="1"/>
  <c r="O219" i="1" s="1"/>
  <c r="Q219" i="1" s="1"/>
  <c r="P219" i="1" l="1"/>
  <c r="R219" i="1" l="1"/>
  <c r="N220" i="1" s="1"/>
  <c r="O220" i="1" s="1"/>
  <c r="Q220" i="1" s="1"/>
  <c r="P220" i="1" l="1"/>
  <c r="R220" i="1" l="1"/>
  <c r="N221" i="1" s="1"/>
  <c r="O221" i="1" s="1"/>
  <c r="Q221" i="1" s="1"/>
  <c r="P221" i="1" l="1"/>
  <c r="R221" i="1" l="1"/>
  <c r="N222" i="1" s="1"/>
  <c r="O222" i="1" s="1"/>
  <c r="Q222" i="1" s="1"/>
  <c r="P222" i="1" l="1"/>
  <c r="R222" i="1" l="1"/>
  <c r="N223" i="1" s="1"/>
  <c r="O223" i="1" s="1"/>
  <c r="Q223" i="1" s="1"/>
  <c r="P223" i="1" l="1"/>
  <c r="R223" i="1" l="1"/>
  <c r="N224" i="1" s="1"/>
  <c r="O224" i="1" s="1"/>
  <c r="Q224" i="1" s="1"/>
  <c r="P224" i="1" l="1"/>
  <c r="R224" i="1" l="1"/>
  <c r="N225" i="1" s="1"/>
  <c r="O225" i="1" s="1"/>
  <c r="Q225" i="1" s="1"/>
  <c r="P225" i="1" l="1"/>
  <c r="R225" i="1" l="1"/>
  <c r="N226" i="1" s="1"/>
  <c r="O226" i="1" s="1"/>
  <c r="Q226" i="1" s="1"/>
  <c r="P226" i="1" l="1"/>
  <c r="R226" i="1" l="1"/>
  <c r="N227" i="1" s="1"/>
  <c r="O227" i="1" s="1"/>
  <c r="Q227" i="1" s="1"/>
  <c r="P227" i="1" l="1"/>
  <c r="R227" i="1" l="1"/>
  <c r="N228" i="1" s="1"/>
  <c r="O228" i="1" s="1"/>
  <c r="Q228" i="1" s="1"/>
  <c r="P228" i="1" l="1"/>
  <c r="R228" i="1" l="1"/>
  <c r="N229" i="1" s="1"/>
  <c r="O229" i="1" s="1"/>
  <c r="Q229" i="1" s="1"/>
  <c r="P229" i="1" l="1"/>
  <c r="R229" i="1" s="1"/>
  <c r="N230" i="1" s="1"/>
  <c r="O230" i="1" l="1"/>
  <c r="Q230" i="1" s="1"/>
  <c r="P230" i="1" l="1"/>
  <c r="R230" i="1" s="1"/>
  <c r="N231" i="1" l="1"/>
  <c r="O231" i="1" s="1"/>
  <c r="Q231" i="1" s="1"/>
  <c r="P231" i="1" l="1"/>
  <c r="R231" i="1" l="1"/>
  <c r="N232" i="1" s="1"/>
  <c r="O232" i="1" s="1"/>
  <c r="Q232" i="1" s="1"/>
  <c r="P232" i="1" l="1"/>
  <c r="R232" i="1" l="1"/>
  <c r="N233" i="1" s="1"/>
  <c r="O233" i="1" s="1"/>
  <c r="Q233" i="1" s="1"/>
  <c r="P233" i="1" l="1"/>
  <c r="R233" i="1" l="1"/>
  <c r="N234" i="1" s="1"/>
  <c r="O234" i="1" s="1"/>
  <c r="Q234" i="1" s="1"/>
  <c r="P234" i="1" l="1"/>
  <c r="R234" i="1" l="1"/>
  <c r="N235" i="1" s="1"/>
  <c r="O235" i="1" s="1"/>
  <c r="Q235" i="1" s="1"/>
  <c r="P235" i="1" l="1"/>
  <c r="R235" i="1" l="1"/>
  <c r="N236" i="1" s="1"/>
  <c r="O236" i="1" s="1"/>
  <c r="Q236" i="1" s="1"/>
  <c r="P236" i="1" l="1"/>
  <c r="R236" i="1" l="1"/>
  <c r="N237" i="1" s="1"/>
  <c r="O237" i="1" s="1"/>
  <c r="Q237" i="1" s="1"/>
  <c r="P237" i="1" l="1"/>
  <c r="R237" i="1" l="1"/>
  <c r="N238" i="1" s="1"/>
  <c r="O238" i="1" s="1"/>
  <c r="Q238" i="1" s="1"/>
  <c r="P238" i="1" l="1"/>
  <c r="R238" i="1" l="1"/>
  <c r="N239" i="1" s="1"/>
  <c r="O239" i="1" s="1"/>
  <c r="Q239" i="1" s="1"/>
  <c r="P239" i="1" l="1"/>
  <c r="R239" i="1" l="1"/>
  <c r="N240" i="1" s="1"/>
  <c r="O240" i="1" s="1"/>
  <c r="Q240" i="1" s="1"/>
  <c r="P240" i="1" l="1"/>
  <c r="R240" i="1" l="1"/>
  <c r="N241" i="1" s="1"/>
  <c r="O241" i="1" s="1"/>
  <c r="Q241" i="1" s="1"/>
  <c r="P241" i="1" l="1"/>
  <c r="R241" i="1" l="1"/>
  <c r="N242" i="1" s="1"/>
  <c r="O242" i="1" s="1"/>
  <c r="Q242" i="1" s="1"/>
  <c r="P242" i="1" l="1"/>
  <c r="R242" i="1" l="1"/>
  <c r="N243" i="1" s="1"/>
  <c r="O243" i="1" s="1"/>
  <c r="Q243" i="1" s="1"/>
  <c r="P243" i="1" l="1"/>
  <c r="R243" i="1" l="1"/>
  <c r="N244" i="1" s="1"/>
  <c r="O244" i="1" s="1"/>
  <c r="Q244" i="1" s="1"/>
  <c r="P244" i="1" l="1"/>
  <c r="R244" i="1" l="1"/>
  <c r="N245" i="1" s="1"/>
  <c r="O245" i="1" s="1"/>
  <c r="Q245" i="1" s="1"/>
  <c r="P245" i="1" l="1"/>
  <c r="R245" i="1" l="1"/>
  <c r="N246" i="1" s="1"/>
  <c r="O246" i="1" s="1"/>
  <c r="Q246" i="1" s="1"/>
  <c r="P246" i="1" l="1"/>
  <c r="R246" i="1" l="1"/>
  <c r="N247" i="1" s="1"/>
  <c r="O247" i="1" s="1"/>
  <c r="Q247" i="1" s="1"/>
  <c r="P247" i="1" l="1"/>
  <c r="R247" i="1" l="1"/>
  <c r="N248" i="1" s="1"/>
  <c r="O248" i="1" s="1"/>
  <c r="Q248" i="1" s="1"/>
  <c r="P248" i="1" l="1"/>
  <c r="R248" i="1" l="1"/>
  <c r="N249" i="1" s="1"/>
  <c r="O249" i="1" s="1"/>
  <c r="Q249" i="1" s="1"/>
  <c r="P249" i="1" l="1"/>
  <c r="R249" i="1" l="1"/>
  <c r="N250" i="1" s="1"/>
  <c r="O250" i="1" s="1"/>
  <c r="Q250" i="1" s="1"/>
  <c r="P250" i="1" l="1"/>
  <c r="R250" i="1" l="1"/>
  <c r="N251" i="1" s="1"/>
  <c r="O251" i="1" s="1"/>
  <c r="Q251" i="1" s="1"/>
  <c r="P251" i="1" l="1"/>
  <c r="R251" i="1" l="1"/>
  <c r="N252" i="1" s="1"/>
  <c r="O252" i="1" s="1"/>
  <c r="Q252" i="1" s="1"/>
  <c r="P252" i="1" l="1"/>
  <c r="R252" i="1" l="1"/>
  <c r="N253" i="1" s="1"/>
  <c r="O253" i="1" s="1"/>
  <c r="Q253" i="1" s="1"/>
  <c r="P253" i="1" l="1"/>
  <c r="R253" i="1" l="1"/>
  <c r="N254" i="1" s="1"/>
  <c r="O254" i="1" s="1"/>
  <c r="Q254" i="1" s="1"/>
  <c r="P254" i="1" l="1"/>
  <c r="R254" i="1" l="1"/>
  <c r="N255" i="1" s="1"/>
  <c r="O255" i="1" s="1"/>
  <c r="Q255" i="1" s="1"/>
  <c r="P255" i="1" l="1"/>
  <c r="R255" i="1" l="1"/>
  <c r="N256" i="1" s="1"/>
  <c r="O256" i="1" s="1"/>
  <c r="Q256" i="1" s="1"/>
  <c r="P256" i="1" l="1"/>
  <c r="R256" i="1" l="1"/>
  <c r="N257" i="1" s="1"/>
  <c r="O257" i="1" s="1"/>
  <c r="Q257" i="1" s="1"/>
  <c r="P257" i="1" l="1"/>
  <c r="R257" i="1" l="1"/>
  <c r="N258" i="1" s="1"/>
  <c r="O258" i="1" s="1"/>
  <c r="Q258" i="1" s="1"/>
  <c r="P258" i="1" l="1"/>
  <c r="R258" i="1" l="1"/>
  <c r="N259" i="1" s="1"/>
  <c r="O259" i="1" s="1"/>
  <c r="Q259" i="1" s="1"/>
  <c r="P259" i="1" l="1"/>
  <c r="R259" i="1"/>
  <c r="N260" i="1"/>
  <c r="O260" i="1" l="1"/>
  <c r="Q260" i="1" s="1"/>
  <c r="P260" i="1" l="1"/>
  <c r="R260" i="1" l="1"/>
  <c r="N261" i="1" s="1"/>
  <c r="O261" i="1" s="1"/>
  <c r="Q261" i="1" s="1"/>
  <c r="P261" i="1" l="1"/>
  <c r="R261" i="1" l="1"/>
  <c r="N262" i="1" s="1"/>
  <c r="O262" i="1" s="1"/>
  <c r="Q262" i="1" s="1"/>
  <c r="P262" i="1" l="1"/>
  <c r="R262" i="1" l="1"/>
  <c r="N263" i="1" s="1"/>
  <c r="O263" i="1" s="1"/>
  <c r="Q263" i="1" s="1"/>
  <c r="P263" i="1" l="1"/>
  <c r="R263" i="1" l="1"/>
  <c r="N264" i="1" s="1"/>
  <c r="O264" i="1" s="1"/>
  <c r="Q264" i="1" s="1"/>
  <c r="P264" i="1" l="1"/>
  <c r="R264" i="1" l="1"/>
  <c r="N265" i="1" s="1"/>
  <c r="O265" i="1" s="1"/>
  <c r="Q265" i="1" s="1"/>
  <c r="P265" i="1" l="1"/>
  <c r="R265" i="1" l="1"/>
  <c r="N266" i="1" s="1"/>
  <c r="O266" i="1" s="1"/>
  <c r="Q266" i="1" s="1"/>
  <c r="P266" i="1" l="1"/>
  <c r="R266" i="1" l="1"/>
  <c r="N267" i="1" s="1"/>
  <c r="O267" i="1" s="1"/>
  <c r="Q267" i="1" s="1"/>
  <c r="P267" i="1" l="1"/>
  <c r="R267" i="1" l="1"/>
  <c r="N268" i="1" s="1"/>
  <c r="O268" i="1" s="1"/>
  <c r="Q268" i="1" s="1"/>
  <c r="P268" i="1" l="1"/>
  <c r="R268" i="1" l="1"/>
  <c r="N269" i="1" s="1"/>
  <c r="O269" i="1" s="1"/>
  <c r="Q269" i="1" s="1"/>
  <c r="P269" i="1" l="1"/>
  <c r="R269" i="1" l="1"/>
  <c r="N270" i="1" s="1"/>
  <c r="O270" i="1" s="1"/>
  <c r="Q270" i="1" s="1"/>
  <c r="P270" i="1" l="1"/>
  <c r="R270" i="1" s="1"/>
  <c r="N271" i="1" s="1"/>
  <c r="O271" i="1" l="1"/>
  <c r="Q271" i="1" s="1"/>
  <c r="P271" i="1" l="1"/>
  <c r="R271" i="1" l="1"/>
  <c r="N272" i="1" s="1"/>
  <c r="O272" i="1" s="1"/>
  <c r="Q272" i="1" s="1"/>
  <c r="P272" i="1" l="1"/>
  <c r="R272" i="1" l="1"/>
  <c r="N273" i="1" s="1"/>
  <c r="O273" i="1" s="1"/>
  <c r="Q273" i="1" s="1"/>
  <c r="P273" i="1" l="1"/>
  <c r="R273" i="1" l="1"/>
  <c r="N274" i="1" s="1"/>
  <c r="O274" i="1" s="1"/>
  <c r="Q274" i="1" s="1"/>
  <c r="P274" i="1" l="1"/>
  <c r="R274" i="1" l="1"/>
  <c r="N275" i="1" s="1"/>
  <c r="O275" i="1" s="1"/>
  <c r="Q275" i="1" s="1"/>
  <c r="P275" i="1" l="1"/>
  <c r="R275" i="1" l="1"/>
  <c r="N276" i="1" s="1"/>
  <c r="O276" i="1" s="1"/>
  <c r="Q276" i="1" s="1"/>
  <c r="P276" i="1" l="1"/>
  <c r="R276" i="1" l="1"/>
  <c r="N277" i="1" s="1"/>
  <c r="O277" i="1" s="1"/>
  <c r="Q277" i="1" s="1"/>
  <c r="P277" i="1" l="1"/>
  <c r="R277" i="1" l="1"/>
  <c r="N278" i="1" s="1"/>
  <c r="O278" i="1" s="1"/>
  <c r="Q278" i="1" s="1"/>
  <c r="P278" i="1" l="1"/>
  <c r="R278" i="1" l="1"/>
  <c r="N279" i="1" s="1"/>
  <c r="O279" i="1" s="1"/>
  <c r="Q279" i="1" s="1"/>
  <c r="P279" i="1" l="1"/>
  <c r="R279" i="1" l="1"/>
  <c r="N280" i="1" s="1"/>
  <c r="O280" i="1" s="1"/>
  <c r="Q280" i="1" s="1"/>
  <c r="P280" i="1" l="1"/>
  <c r="R280" i="1" l="1"/>
  <c r="N281" i="1" s="1"/>
  <c r="O281" i="1" s="1"/>
  <c r="Q281" i="1" s="1"/>
  <c r="P281" i="1" l="1"/>
  <c r="R281" i="1" l="1"/>
  <c r="N282" i="1" s="1"/>
  <c r="O282" i="1" s="1"/>
  <c r="Q282" i="1" s="1"/>
  <c r="P282" i="1" l="1"/>
  <c r="R282" i="1" l="1"/>
  <c r="N283" i="1" s="1"/>
  <c r="O283" i="1" s="1"/>
  <c r="Q283" i="1" s="1"/>
  <c r="P283" i="1" l="1"/>
  <c r="R283" i="1" l="1"/>
  <c r="N284" i="1" s="1"/>
  <c r="O284" i="1" s="1"/>
  <c r="Q284" i="1" s="1"/>
  <c r="P284" i="1" l="1"/>
  <c r="R284" i="1" l="1"/>
  <c r="N285" i="1" s="1"/>
  <c r="O285" i="1" s="1"/>
  <c r="Q285" i="1" s="1"/>
  <c r="P285" i="1" l="1"/>
  <c r="R285" i="1" s="1"/>
  <c r="N286" i="1" l="1"/>
  <c r="O286" i="1" s="1"/>
  <c r="Q286" i="1" s="1"/>
  <c r="P286" i="1" l="1"/>
  <c r="R286" i="1" l="1"/>
  <c r="N287" i="1" s="1"/>
  <c r="O287" i="1" s="1"/>
  <c r="Q287" i="1" s="1"/>
  <c r="P287" i="1" l="1"/>
  <c r="R287" i="1" l="1"/>
  <c r="N288" i="1" s="1"/>
  <c r="O288" i="1" s="1"/>
  <c r="Q288" i="1" s="1"/>
  <c r="P288" i="1" l="1"/>
  <c r="R288" i="1" l="1"/>
  <c r="N289" i="1" s="1"/>
  <c r="O289" i="1" s="1"/>
  <c r="Q289" i="1" s="1"/>
  <c r="P289" i="1" l="1"/>
  <c r="R289" i="1" l="1"/>
  <c r="N290" i="1" s="1"/>
  <c r="O290" i="1" s="1"/>
  <c r="Q290" i="1" s="1"/>
  <c r="P290" i="1" l="1"/>
  <c r="R290" i="1" l="1"/>
  <c r="N291" i="1" s="1"/>
  <c r="O291" i="1" s="1"/>
  <c r="Q291" i="1" s="1"/>
  <c r="P291" i="1" l="1"/>
  <c r="R291" i="1" l="1"/>
  <c r="N292" i="1" s="1"/>
  <c r="O292" i="1" s="1"/>
  <c r="Q292" i="1" s="1"/>
  <c r="P292" i="1" l="1"/>
  <c r="R292" i="1" l="1"/>
  <c r="N293" i="1" s="1"/>
  <c r="O293" i="1" s="1"/>
  <c r="Q293" i="1" s="1"/>
  <c r="P293" i="1" l="1"/>
  <c r="R293" i="1" l="1"/>
  <c r="N294" i="1" s="1"/>
  <c r="O294" i="1" s="1"/>
  <c r="Q294" i="1" s="1"/>
  <c r="P294" i="1" l="1"/>
  <c r="R294" i="1" l="1"/>
  <c r="N295" i="1" s="1"/>
  <c r="O295" i="1" s="1"/>
  <c r="Q295" i="1" s="1"/>
  <c r="P295" i="1" l="1"/>
  <c r="R295" i="1" l="1"/>
  <c r="N296" i="1" s="1"/>
  <c r="O296" i="1" s="1"/>
  <c r="Q296" i="1" s="1"/>
  <c r="P296" i="1" l="1"/>
  <c r="R296" i="1" l="1"/>
  <c r="N297" i="1" s="1"/>
  <c r="O297" i="1" s="1"/>
  <c r="Q297" i="1" s="1"/>
  <c r="P297" i="1" l="1"/>
  <c r="R297" i="1" l="1"/>
  <c r="N298" i="1" s="1"/>
  <c r="O298" i="1" s="1"/>
  <c r="Q298" i="1" s="1"/>
  <c r="P298" i="1" l="1"/>
  <c r="R298" i="1" l="1"/>
  <c r="N299" i="1" s="1"/>
  <c r="O299" i="1" s="1"/>
  <c r="Q299" i="1" s="1"/>
  <c r="P299" i="1" l="1"/>
  <c r="R299" i="1" l="1"/>
  <c r="N300" i="1" s="1"/>
  <c r="O300" i="1" s="1"/>
  <c r="Q300" i="1" s="1"/>
  <c r="P300" i="1" l="1"/>
  <c r="R300" i="1" l="1"/>
  <c r="N301" i="1" s="1"/>
  <c r="O301" i="1" s="1"/>
  <c r="Q301" i="1" s="1"/>
  <c r="P301" i="1" l="1"/>
  <c r="R301" i="1" l="1"/>
  <c r="N302" i="1" s="1"/>
  <c r="O302" i="1" s="1"/>
  <c r="Q302" i="1" s="1"/>
  <c r="P302" i="1" l="1"/>
  <c r="R302" i="1" l="1"/>
  <c r="N303" i="1" s="1"/>
  <c r="O303" i="1" s="1"/>
  <c r="Q303" i="1" s="1"/>
  <c r="P303" i="1" l="1"/>
  <c r="R303" i="1" l="1"/>
  <c r="N304" i="1" s="1"/>
  <c r="O304" i="1" s="1"/>
  <c r="Q304" i="1" s="1"/>
  <c r="P304" i="1" l="1"/>
  <c r="R304" i="1" l="1"/>
  <c r="N305" i="1" s="1"/>
  <c r="O305" i="1" s="1"/>
  <c r="Q305" i="1" s="1"/>
  <c r="P305" i="1" l="1"/>
  <c r="R305" i="1" l="1"/>
  <c r="N306" i="1" s="1"/>
  <c r="O306" i="1" s="1"/>
  <c r="Q306" i="1" s="1"/>
  <c r="P306" i="1" l="1"/>
  <c r="R306" i="1" s="1"/>
</calcChain>
</file>

<file path=xl/sharedStrings.xml><?xml version="1.0" encoding="utf-8"?>
<sst xmlns="http://schemas.openxmlformats.org/spreadsheetml/2006/main" count="32" uniqueCount="30">
  <si>
    <t>S_w [ft^2]</t>
  </si>
  <si>
    <t>b [ft]</t>
  </si>
  <si>
    <t>Ixx [slug*ft^2]</t>
  </si>
  <si>
    <t>Cl,pbar</t>
  </si>
  <si>
    <t>Cl,da</t>
  </si>
  <si>
    <t>V [ft/s]</t>
  </si>
  <si>
    <t>dt[s]</t>
  </si>
  <si>
    <t>rho [slug/ft^3]</t>
  </si>
  <si>
    <t>p_sp [deg/s]</t>
  </si>
  <si>
    <t>CONSTANTS</t>
  </si>
  <si>
    <t>CALCULATIONS</t>
  </si>
  <si>
    <t>da [rad]</t>
  </si>
  <si>
    <t>da [deg]</t>
  </si>
  <si>
    <t>time_constant [/s]</t>
  </si>
  <si>
    <t>INTEGRATION</t>
  </si>
  <si>
    <t>time [s]</t>
  </si>
  <si>
    <t>p [deg/s] (analytic)</t>
  </si>
  <si>
    <t>PLOT</t>
  </si>
  <si>
    <t>p [deg/s] (constant deflection)</t>
  </si>
  <si>
    <t>p [deg/s] (variable deflection)</t>
  </si>
  <si>
    <t>PID</t>
  </si>
  <si>
    <t>GAINS</t>
  </si>
  <si>
    <t>Roll Rate</t>
  </si>
  <si>
    <t>k_p</t>
  </si>
  <si>
    <t>k_i</t>
  </si>
  <si>
    <t>k_d</t>
  </si>
  <si>
    <t>err [deg/s]</t>
  </si>
  <si>
    <t>p [deg/s]</t>
  </si>
  <si>
    <t>int</t>
  </si>
  <si>
    <t>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</si>
</sst>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1" fillId="2" borderId="0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1" xfId="0" applyNumberFormat="1" applyBorder="1"/>
    <xf numFmtId="0" fontId="1" fillId="2" borderId="0" xfId="0" applyFont="1" applyFill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0"/>
          <c:order val="0"/>
          <c:tx>
            <c:v>Analytic</c:v>
          </c:tx>
          <c:spPr>
            <a:ln w="25400" cap="rnd">
              <a:solidFill>
                <a:schemeClr val="dk1"/>
              </a:solidFill>
              <a:round/>
            </a:ln>
            <a:effectLst/>
          </c:spPr>
          <c:marker>
            <c:symbol val="none"/>
          </c:marker>
          <c:xVal>
            <c:numRef>
              <c:f>Sheet1!$H$6:$H$306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Sheet1!$I$6:$I$306</c:f>
              <c:numCache>
                <c:formatCode>0.000000</c:formatCode>
                <c:ptCount val="301"/>
                <c:pt idx="0">
                  <c:v>0</c:v>
                </c:pt>
                <c:pt idx="1">
                  <c:v>1.1011944423338693</c:v>
                </c:pt>
                <c:pt idx="2">
                  <c:v>2.1781363006711958</c:v>
                </c:pt>
                <c:pt idx="3">
                  <c:v>3.2313597112261667</c:v>
                </c:pt>
                <c:pt idx="4">
                  <c:v>4.2613870464563597</c:v>
                </c:pt>
                <c:pt idx="5">
                  <c:v>5.2687291741464017</c:v>
                </c:pt>
                <c:pt idx="6">
                  <c:v>6.2538857107856218</c:v>
                </c:pt>
                <c:pt idx="7">
                  <c:v>7.2173452693653273</c:v>
                </c:pt>
                <c:pt idx="8">
                  <c:v>8.159585701718596</c:v>
                </c:pt>
                <c:pt idx="9">
                  <c:v>9.0810743355228745</c:v>
                </c:pt>
                <c:pt idx="10">
                  <c:v>9.982268206082777</c:v>
                </c:pt>
                <c:pt idx="11">
                  <c:v>10.863614283008154</c:v>
                </c:pt>
                <c:pt idx="12">
                  <c:v>11.725549691899872</c:v>
                </c:pt>
                <c:pt idx="13">
                  <c:v>12.568501931153147</c:v>
                </c:pt>
                <c:pt idx="14">
                  <c:v>13.392889083986047</c:v>
                </c:pt>
                <c:pt idx="15">
                  <c:v>14.199120025798328</c:v>
                </c:pt>
                <c:pt idx="16">
                  <c:v>14.987594626963384</c:v>
                </c:pt>
                <c:pt idx="17">
                  <c:v>15.758703951153949</c:v>
                </c:pt>
                <c:pt idx="18">
                  <c:v>16.512830449299912</c:v>
                </c:pt>
                <c:pt idx="19">
                  <c:v>17.250348149274366</c:v>
                </c:pt>
                <c:pt idx="20">
                  <c:v>17.97162284140213</c:v>
                </c:pt>
                <c:pt idx="21">
                  <c:v>18.677012259882552</c:v>
                </c:pt>
                <c:pt idx="22">
                  <c:v>19.366866260216742</c:v>
                </c:pt>
                <c:pt idx="23">
                  <c:v>20.041526992727128</c:v>
                </c:pt>
                <c:pt idx="24">
                  <c:v>20.70132907225549</c:v>
                </c:pt>
                <c:pt idx="25">
                  <c:v>21.346599744123509</c:v>
                </c:pt>
                <c:pt idx="26">
                  <c:v>21.977659046438294</c:v>
                </c:pt>
                <c:pt idx="27">
                  <c:v>22.594819968823231</c:v>
                </c:pt>
                <c:pt idx="28">
                  <c:v>23.198388607653051</c:v>
                </c:pt>
                <c:pt idx="29">
                  <c:v>23.788664317869944</c:v>
                </c:pt>
                <c:pt idx="30">
                  <c:v>24.365939861456123</c:v>
                </c:pt>
                <c:pt idx="31">
                  <c:v>24.930501552636457</c:v>
                </c:pt>
                <c:pt idx="32">
                  <c:v>25.482629399883141</c:v>
                </c:pt>
                <c:pt idx="33">
                  <c:v>26.022597244792909</c:v>
                </c:pt>
                <c:pt idx="34">
                  <c:v>26.55067289790561</c:v>
                </c:pt>
                <c:pt idx="35">
                  <c:v>27.067118271531513</c:v>
                </c:pt>
                <c:pt idx="36">
                  <c:v>27.572189509653303</c:v>
                </c:pt>
                <c:pt idx="37">
                  <c:v>28.066137114967045</c:v>
                </c:pt>
                <c:pt idx="38">
                  <c:v>28.549206073125273</c:v>
                </c:pt>
                <c:pt idx="39">
                  <c:v>29.021635974243743</c:v>
                </c:pt>
                <c:pt idx="40">
                  <c:v>29.483661131732134</c:v>
                </c:pt>
                <c:pt idx="41">
                  <c:v>29.935510698507631</c:v>
                </c:pt>
                <c:pt idx="42">
                  <c:v>30.377408780649048</c:v>
                </c:pt>
                <c:pt idx="43">
                  <c:v>30.809574548547822</c:v>
                </c:pt>
                <c:pt idx="44">
                  <c:v>31.232222345611049</c:v>
                </c:pt>
                <c:pt idx="45">
                  <c:v>31.645561794570465</c:v>
                </c:pt>
                <c:pt idx="46">
                  <c:v>32.049797901450056</c:v>
                </c:pt>
                <c:pt idx="47">
                  <c:v>32.445131157243921</c:v>
                </c:pt>
                <c:pt idx="48">
                  <c:v>32.831757637354769</c:v>
                </c:pt>
                <c:pt idx="49">
                  <c:v>33.209869098842489</c:v>
                </c:pt>
                <c:pt idx="50">
                  <c:v>33.579653075530743</c:v>
                </c:pt>
                <c:pt idx="51">
                  <c:v>33.941292971019138</c:v>
                </c:pt>
                <c:pt idx="52">
                  <c:v>34.29496814964677</c:v>
                </c:pt>
                <c:pt idx="53">
                  <c:v>34.64085402545247</c:v>
                </c:pt>
                <c:pt idx="54">
                  <c:v>34.979122149175801</c:v>
                </c:pt>
                <c:pt idx="55">
                  <c:v>35.309940293341874</c:v>
                </c:pt>
                <c:pt idx="56">
                  <c:v>35.633472535472364</c:v>
                </c:pt>
                <c:pt idx="57">
                  <c:v>35.949879339463862</c:v>
                </c:pt>
                <c:pt idx="58">
                  <c:v>36.259317635173915</c:v>
                </c:pt>
                <c:pt idx="59">
                  <c:v>36.561940896254349</c:v>
                </c:pt>
                <c:pt idx="60">
                  <c:v>36.857899216270319</c:v>
                </c:pt>
                <c:pt idx="61">
                  <c:v>37.147339383143013</c:v>
                </c:pt>
                <c:pt idx="62">
                  <c:v>37.430404951952738</c:v>
                </c:pt>
                <c:pt idx="63">
                  <c:v>37.707236316138676</c:v>
                </c:pt>
                <c:pt idx="64">
                  <c:v>37.977970777130508</c:v>
                </c:pt>
                <c:pt idx="65">
                  <c:v>38.242742612446499</c:v>
                </c:pt>
                <c:pt idx="66">
                  <c:v>38.501683142291746</c:v>
                </c:pt>
                <c:pt idx="67">
                  <c:v>38.754920794689788</c:v>
                </c:pt>
                <c:pt idx="68">
                  <c:v>39.002581169179635</c:v>
                </c:pt>
                <c:pt idx="69">
                  <c:v>39.244787099109978</c:v>
                </c:pt>
                <c:pt idx="70">
                  <c:v>39.481658712561526</c:v>
                </c:pt>
                <c:pt idx="71">
                  <c:v>39.713313491927487</c:v>
                </c:pt>
                <c:pt idx="72">
                  <c:v>39.939866332181893</c:v>
                </c:pt>
                <c:pt idx="73">
                  <c:v>40.16142959786464</c:v>
                </c:pt>
                <c:pt idx="74">
                  <c:v>40.378113178811482</c:v>
                </c:pt>
                <c:pt idx="75">
                  <c:v>40.590024544656636</c:v>
                </c:pt>
                <c:pt idx="76">
                  <c:v>40.797268798135086</c:v>
                </c:pt>
                <c:pt idx="77">
                  <c:v>40.999948727210807</c:v>
                </c:pt>
                <c:pt idx="78">
                  <c:v>41.198164856057112</c:v>
                </c:pt>
                <c:pt idx="79">
                  <c:v>41.392015494914084</c:v>
                </c:pt>
                <c:pt idx="80">
                  <c:v>41.581596788848024</c:v>
                </c:pt>
                <c:pt idx="81">
                  <c:v>41.767002765436949</c:v>
                </c:pt>
                <c:pt idx="82">
                  <c:v>41.948325381405965</c:v>
                </c:pt>
                <c:pt idx="83">
                  <c:v>42.12565456823549</c:v>
                </c:pt>
                <c:pt idx="84">
                  <c:v>42.299078276765016</c:v>
                </c:pt>
                <c:pt idx="85">
                  <c:v>42.468682520814504</c:v>
                </c:pt>
                <c:pt idx="86">
                  <c:v>42.634551419845124</c:v>
                </c:pt>
                <c:pt idx="87">
                  <c:v>42.796767240680367</c:v>
                </c:pt>
                <c:pt idx="88">
                  <c:v>42.955410438308377</c:v>
                </c:pt>
                <c:pt idx="89">
                  <c:v>43.110559695785533</c:v>
                </c:pt>
                <c:pt idx="90">
                  <c:v>43.262291963261376</c:v>
                </c:pt>
                <c:pt idx="91">
                  <c:v>43.41068249614387</c:v>
                </c:pt>
                <c:pt idx="92">
                  <c:v>43.555804892424263</c:v>
                </c:pt>
                <c:pt idx="93">
                  <c:v>43.697731129179815</c:v>
                </c:pt>
                <c:pt idx="94">
                  <c:v>43.836531598272636</c:v>
                </c:pt>
                <c:pt idx="95">
                  <c:v>43.97227514126228</c:v>
                </c:pt>
                <c:pt idx="96">
                  <c:v>44.105029083549482</c:v>
                </c:pt>
                <c:pt idx="97">
                  <c:v>44.234859267767781</c:v>
                </c:pt>
                <c:pt idx="98">
                  <c:v>44.361830086439909</c:v>
                </c:pt>
                <c:pt idx="99">
                  <c:v>44.486004513914843</c:v>
                </c:pt>
                <c:pt idx="100">
                  <c:v>44.607444137601462</c:v>
                </c:pt>
                <c:pt idx="101">
                  <c:v>44.726209188514432</c:v>
                </c:pt>
                <c:pt idx="102">
                  <c:v>44.842358571147209</c:v>
                </c:pt>
                <c:pt idx="103">
                  <c:v>44.955949892687286</c:v>
                </c:pt>
                <c:pt idx="104">
                  <c:v>45.067039491587813</c:v>
                </c:pt>
                <c:pt idx="105">
                  <c:v>45.175682465510128</c:v>
                </c:pt>
                <c:pt idx="106">
                  <c:v>45.281932698650813</c:v>
                </c:pt>
                <c:pt idx="107">
                  <c:v>45.385842888466875</c:v>
                </c:pt>
                <c:pt idx="108">
                  <c:v>45.487464571812382</c:v>
                </c:pt>
                <c:pt idx="109">
                  <c:v>45.586848150499478</c:v>
                </c:pt>
                <c:pt idx="110">
                  <c:v>45.684042916296384</c:v>
                </c:pt>
                <c:pt idx="111">
                  <c:v>45.779097075374906</c:v>
                </c:pt>
                <c:pt idx="112">
                  <c:v>45.872057772219463</c:v>
                </c:pt>
                <c:pt idx="113">
                  <c:v>45.962971113009608</c:v>
                </c:pt>
                <c:pt idx="114">
                  <c:v>46.051882188487511</c:v>
                </c:pt>
                <c:pt idx="115">
                  <c:v>46.138835096321841</c:v>
                </c:pt>
                <c:pt idx="116">
                  <c:v>46.223872962979151</c:v>
                </c:pt>
                <c:pt idx="117">
                  <c:v>46.30703796511343</c:v>
                </c:pt>
                <c:pt idx="118">
                  <c:v>46.388371350484775</c:v>
                </c:pt>
                <c:pt idx="119">
                  <c:v>46.467913458417165</c:v>
                </c:pt>
                <c:pt idx="120">
                  <c:v>46.545703739805838</c:v>
                </c:pt>
                <c:pt idx="121">
                  <c:v>46.621780776683842</c:v>
                </c:pt>
                <c:pt idx="122">
                  <c:v>46.696182301357865</c:v>
                </c:pt>
                <c:pt idx="123">
                  <c:v>46.768945215122443</c:v>
                </c:pt>
                <c:pt idx="124">
                  <c:v>46.840105606562112</c:v>
                </c:pt>
                <c:pt idx="125">
                  <c:v>46.909698769450429</c:v>
                </c:pt>
                <c:pt idx="126">
                  <c:v>46.977759220254804</c:v>
                </c:pt>
                <c:pt idx="127">
                  <c:v>47.0443207152558</c:v>
                </c:pt>
                <c:pt idx="128">
                  <c:v>47.10941626728944</c:v>
                </c:pt>
                <c:pt idx="129">
                  <c:v>47.173078162120667</c:v>
                </c:pt>
                <c:pt idx="130">
                  <c:v>47.235337974456371</c:v>
                </c:pt>
                <c:pt idx="131">
                  <c:v>47.296226583605574</c:v>
                </c:pt>
                <c:pt idx="132">
                  <c:v>47.35577418879484</c:v>
                </c:pt>
                <c:pt idx="133">
                  <c:v>47.414010324146346</c:v>
                </c:pt>
                <c:pt idx="134">
                  <c:v>47.470963873325992</c:v>
                </c:pt>
                <c:pt idx="135">
                  <c:v>47.526663083869096</c:v>
                </c:pt>
                <c:pt idx="136">
                  <c:v>47.581135581190345</c:v>
                </c:pt>
                <c:pt idx="137">
                  <c:v>47.634408382285393</c:v>
                </c:pt>
                <c:pt idx="138">
                  <c:v>47.686507909130576</c:v>
                </c:pt>
                <c:pt idx="139">
                  <c:v>47.737460001787547</c:v>
                </c:pt>
                <c:pt idx="140">
                  <c:v>47.787289931219341</c:v>
                </c:pt>
                <c:pt idx="141">
                  <c:v>47.836022411824096</c:v>
                </c:pt>
                <c:pt idx="142">
                  <c:v>47.883681613692779</c:v>
                </c:pt>
                <c:pt idx="143">
                  <c:v>47.930291174596981</c:v>
                </c:pt>
                <c:pt idx="144">
                  <c:v>47.97587421171265</c:v>
                </c:pt>
                <c:pt idx="145">
                  <c:v>48.020453333085577</c:v>
                </c:pt>
                <c:pt idx="146">
                  <c:v>48.064050648844521</c:v>
                </c:pt>
                <c:pt idx="147">
                  <c:v>48.106687782167164</c:v>
                </c:pt>
                <c:pt idx="148">
                  <c:v>48.148385880004767</c:v>
                </c:pt>
                <c:pt idx="149">
                  <c:v>48.189165623570482</c:v>
                </c:pt>
                <c:pt idx="150">
                  <c:v>48.229047238596706</c:v>
                </c:pt>
                <c:pt idx="151">
                  <c:v>48.268050505366567</c:v>
                </c:pt>
                <c:pt idx="152">
                  <c:v>48.306194768524435</c:v>
                </c:pt>
                <c:pt idx="153">
                  <c:v>48.343498946670366</c:v>
                </c:pt>
                <c:pt idx="154">
                  <c:v>48.379981541743312</c:v>
                </c:pt>
                <c:pt idx="155">
                  <c:v>48.415660648197523</c:v>
                </c:pt>
                <c:pt idx="156">
                  <c:v>48.450553961977029</c:v>
                </c:pt>
                <c:pt idx="157">
                  <c:v>48.484678789292374</c:v>
                </c:pt>
                <c:pt idx="158">
                  <c:v>48.518052055204016</c:v>
                </c:pt>
                <c:pt idx="159">
                  <c:v>48.550690312016769</c:v>
                </c:pt>
                <c:pt idx="160">
                  <c:v>48.582609747489322</c:v>
                </c:pt>
                <c:pt idx="161">
                  <c:v>48.61382619286298</c:v>
                </c:pt>
                <c:pt idx="162">
                  <c:v>48.644355130713542</c:v>
                </c:pt>
                <c:pt idx="163">
                  <c:v>48.674211702630267</c:v>
                </c:pt>
                <c:pt idx="164">
                  <c:v>48.70341071672577</c:v>
                </c:pt>
                <c:pt idx="165">
                  <c:v>48.73196665498039</c:v>
                </c:pt>
                <c:pt idx="166">
                  <c:v>48.759893680424987</c:v>
                </c:pt>
                <c:pt idx="167">
                  <c:v>48.787205644165361</c:v>
                </c:pt>
                <c:pt idx="168">
                  <c:v>48.81391609225215</c:v>
                </c:pt>
                <c:pt idx="169">
                  <c:v>48.840038272399219</c:v>
                </c:pt>
                <c:pt idx="170">
                  <c:v>48.865585140554295</c:v>
                </c:pt>
                <c:pt idx="171">
                  <c:v>48.890569367324751</c:v>
                </c:pt>
                <c:pt idx="172">
                  <c:v>48.915003344261891</c:v>
                </c:pt>
                <c:pt idx="173">
                  <c:v>48.938899190006879</c:v>
                </c:pt>
                <c:pt idx="174">
                  <c:v>48.962268756301285</c:v>
                </c:pt>
                <c:pt idx="175">
                  <c:v>48.985123633865236</c:v>
                </c:pt>
                <c:pt idx="176">
                  <c:v>49.007475158146107</c:v>
                </c:pt>
                <c:pt idx="177">
                  <c:v>49.029334414940664</c:v>
                </c:pt>
                <c:pt idx="178">
                  <c:v>49.050712245893301</c:v>
                </c:pt>
                <c:pt idx="179">
                  <c:v>49.071619253873259</c:v>
                </c:pt>
                <c:pt idx="180">
                  <c:v>49.09206580823335</c:v>
                </c:pt>
                <c:pt idx="181">
                  <c:v>49.112062049952918</c:v>
                </c:pt>
                <c:pt idx="182">
                  <c:v>49.1316178966675</c:v>
                </c:pt>
                <c:pt idx="183">
                  <c:v>49.150743047587738</c:v>
                </c:pt>
                <c:pt idx="184">
                  <c:v>49.169446988309929</c:v>
                </c:pt>
                <c:pt idx="185">
                  <c:v>49.187738995520668</c:v>
                </c:pt>
                <c:pt idx="186">
                  <c:v>49.205628141597813</c:v>
                </c:pt>
                <c:pt idx="187">
                  <c:v>49.223123299110192</c:v>
                </c:pt>
                <c:pt idx="188">
                  <c:v>49.240233145218163</c:v>
                </c:pt>
                <c:pt idx="189">
                  <c:v>49.256966165977268</c:v>
                </c:pt>
                <c:pt idx="190">
                  <c:v>49.27333066054711</c:v>
                </c:pt>
                <c:pt idx="191">
                  <c:v>49.289334745307499</c:v>
                </c:pt>
                <c:pt idx="192">
                  <c:v>49.304986357884047</c:v>
                </c:pt>
                <c:pt idx="193">
                  <c:v>49.320293261084927</c:v>
                </c:pt>
                <c:pt idx="194">
                  <c:v>49.33526304675113</c:v>
                </c:pt>
                <c:pt idx="195">
                  <c:v>49.349903139521771</c:v>
                </c:pt>
                <c:pt idx="196">
                  <c:v>49.364220800516513</c:v>
                </c:pt>
                <c:pt idx="197">
                  <c:v>49.378223130936966</c:v>
                </c:pt>
                <c:pt idx="198">
                  <c:v>49.391917075588644</c:v>
                </c:pt>
                <c:pt idx="199">
                  <c:v>49.405309426325445</c:v>
                </c:pt>
                <c:pt idx="200">
                  <c:v>49.418406825418216</c:v>
                </c:pt>
                <c:pt idx="201">
                  <c:v>49.431215768849199</c:v>
                </c:pt>
                <c:pt idx="202">
                  <c:v>49.443742609533807</c:v>
                </c:pt>
                <c:pt idx="203">
                  <c:v>49.455993560471576</c:v>
                </c:pt>
                <c:pt idx="204">
                  <c:v>49.467974697827621</c:v>
                </c:pt>
                <c:pt idx="205">
                  <c:v>49.479691963946287</c:v>
                </c:pt>
                <c:pt idx="206">
                  <c:v>49.491151170298366</c:v>
                </c:pt>
                <c:pt idx="207">
                  <c:v>49.502358000363479</c:v>
                </c:pt>
                <c:pt idx="208">
                  <c:v>49.513318012448906</c:v>
                </c:pt>
                <c:pt idx="209">
                  <c:v>49.524036642446411</c:v>
                </c:pt>
                <c:pt idx="210">
                  <c:v>49.534519206528266</c:v>
                </c:pt>
                <c:pt idx="211">
                  <c:v>49.544770903783949</c:v>
                </c:pt>
                <c:pt idx="212">
                  <c:v>49.554796818798785</c:v>
                </c:pt>
                <c:pt idx="213">
                  <c:v>49.56460192417574</c:v>
                </c:pt>
                <c:pt idx="214">
                  <c:v>49.574191083001757</c:v>
                </c:pt>
                <c:pt idx="215">
                  <c:v>49.583569051259651</c:v>
                </c:pt>
                <c:pt idx="216">
                  <c:v>49.592740480187025</c:v>
                </c:pt>
                <c:pt idx="217">
                  <c:v>49.60170991858314</c:v>
                </c:pt>
                <c:pt idx="218">
                  <c:v>49.610481815064993</c:v>
                </c:pt>
                <c:pt idx="219">
                  <c:v>49.619060520273763</c:v>
                </c:pt>
                <c:pt idx="220">
                  <c:v>49.627450289032566</c:v>
                </c:pt>
                <c:pt idx="221">
                  <c:v>49.635655282456774</c:v>
                </c:pt>
                <c:pt idx="222">
                  <c:v>49.643679570017817</c:v>
                </c:pt>
                <c:pt idx="223">
                  <c:v>49.651527131561544</c:v>
                </c:pt>
                <c:pt idx="224">
                  <c:v>49.65920185928212</c:v>
                </c:pt>
                <c:pt idx="225">
                  <c:v>49.666707559652437</c:v>
                </c:pt>
                <c:pt idx="226">
                  <c:v>49.674047955312098</c:v>
                </c:pt>
                <c:pt idx="227">
                  <c:v>49.681226686913647</c:v>
                </c:pt>
                <c:pt idx="228">
                  <c:v>49.68824731492834</c:v>
                </c:pt>
                <c:pt idx="229">
                  <c:v>49.695113321412016</c:v>
                </c:pt>
                <c:pt idx="230">
                  <c:v>49.701828111732077</c:v>
                </c:pt>
                <c:pt idx="231">
                  <c:v>49.708395016256489</c:v>
                </c:pt>
                <c:pt idx="232">
                  <c:v>49.714817292005591</c:v>
                </c:pt>
                <c:pt idx="233">
                  <c:v>49.721098124267456</c:v>
                </c:pt>
                <c:pt idx="234">
                  <c:v>49.727240628177725</c:v>
                </c:pt>
                <c:pt idx="235">
                  <c:v>49.733247850264625</c:v>
                </c:pt>
                <c:pt idx="236">
                  <c:v>49.739122769960005</c:v>
                </c:pt>
                <c:pt idx="237">
                  <c:v>49.744868301077034</c:v>
                </c:pt>
                <c:pt idx="238">
                  <c:v>49.750487293255382</c:v>
                </c:pt>
                <c:pt idx="239">
                  <c:v>49.755982533374556</c:v>
                </c:pt>
                <c:pt idx="240">
                  <c:v>49.761356746936166</c:v>
                </c:pt>
                <c:pt idx="241">
                  <c:v>49.766612599415652</c:v>
                </c:pt>
                <c:pt idx="242">
                  <c:v>49.771752697584333</c:v>
                </c:pt>
                <c:pt idx="243">
                  <c:v>49.776779590802285</c:v>
                </c:pt>
                <c:pt idx="244">
                  <c:v>49.781695772282774</c:v>
                </c:pt>
                <c:pt idx="245">
                  <c:v>49.786503680328771</c:v>
                </c:pt>
                <c:pt idx="246">
                  <c:v>49.791205699542388</c:v>
                </c:pt>
                <c:pt idx="247">
                  <c:v>49.795804162007485</c:v>
                </c:pt>
                <c:pt idx="248">
                  <c:v>49.800301348446389</c:v>
                </c:pt>
                <c:pt idx="249">
                  <c:v>49.80469948935103</c:v>
                </c:pt>
                <c:pt idx="250">
                  <c:v>49.80900076608927</c:v>
                </c:pt>
                <c:pt idx="251">
                  <c:v>49.813207311986716</c:v>
                </c:pt>
                <c:pt idx="252">
                  <c:v>49.817321213384893</c:v>
                </c:pt>
                <c:pt idx="253">
                  <c:v>49.821344510675949</c:v>
                </c:pt>
                <c:pt idx="254">
                  <c:v>49.825279199314672</c:v>
                </c:pt>
                <c:pt idx="255">
                  <c:v>49.829127230808169</c:v>
                </c:pt>
                <c:pt idx="256">
                  <c:v>49.832890513683765</c:v>
                </c:pt>
                <c:pt idx="257">
                  <c:v>49.836570914435626</c:v>
                </c:pt>
                <c:pt idx="258">
                  <c:v>49.840170258450414</c:v>
                </c:pt>
                <c:pt idx="259">
                  <c:v>49.843690330912693</c:v>
                </c:pt>
                <c:pt idx="260">
                  <c:v>49.847132877690328</c:v>
                </c:pt>
                <c:pt idx="261">
                  <c:v>49.850499606200387</c:v>
                </c:pt>
                <c:pt idx="262">
                  <c:v>49.853792186255973</c:v>
                </c:pt>
                <c:pt idx="263">
                  <c:v>49.857012250894378</c:v>
                </c:pt>
                <c:pt idx="264">
                  <c:v>49.86016139718712</c:v>
                </c:pt>
                <c:pt idx="265">
                  <c:v>49.863241187031939</c:v>
                </c:pt>
                <c:pt idx="266">
                  <c:v>49.866253147927559</c:v>
                </c:pt>
                <c:pt idx="267">
                  <c:v>49.869198773731192</c:v>
                </c:pt>
                <c:pt idx="268">
                  <c:v>49.872079525399549</c:v>
                </c:pt>
                <c:pt idx="269">
                  <c:v>49.874896831713365</c:v>
                </c:pt>
                <c:pt idx="270">
                  <c:v>49.877652089986071</c:v>
                </c:pt>
                <c:pt idx="271">
                  <c:v>49.880346666756843</c:v>
                </c:pt>
                <c:pt idx="272">
                  <c:v>49.88298189846833</c:v>
                </c:pt>
                <c:pt idx="273">
                  <c:v>49.885559092129505</c:v>
                </c:pt>
                <c:pt idx="274">
                  <c:v>49.88807952596396</c:v>
                </c:pt>
                <c:pt idx="275">
                  <c:v>49.890544450043798</c:v>
                </c:pt>
                <c:pt idx="276">
                  <c:v>49.892955086909687</c:v>
                </c:pt>
                <c:pt idx="277">
                  <c:v>49.895312632177188</c:v>
                </c:pt>
                <c:pt idx="278">
                  <c:v>49.897618255129771</c:v>
                </c:pt>
                <c:pt idx="279">
                  <c:v>49.899873099298716</c:v>
                </c:pt>
                <c:pt idx="280">
                  <c:v>49.902078283030328</c:v>
                </c:pt>
                <c:pt idx="281">
                  <c:v>49.904234900040535</c:v>
                </c:pt>
                <c:pt idx="282">
                  <c:v>49.906344019957437</c:v>
                </c:pt>
                <c:pt idx="283">
                  <c:v>49.90840668885172</c:v>
                </c:pt>
                <c:pt idx="284">
                  <c:v>49.910423929755552</c:v>
                </c:pt>
                <c:pt idx="285">
                  <c:v>49.912396743169936</c:v>
                </c:pt>
                <c:pt idx="286">
                  <c:v>49.914326107560974</c:v>
                </c:pt>
                <c:pt idx="287">
                  <c:v>49.916212979845113</c:v>
                </c:pt>
                <c:pt idx="288">
                  <c:v>49.918058295863794</c:v>
                </c:pt>
                <c:pt idx="289">
                  <c:v>49.919862970847596</c:v>
                </c:pt>
                <c:pt idx="290">
                  <c:v>49.921627899870153</c:v>
                </c:pt>
                <c:pt idx="291">
                  <c:v>49.92335395829209</c:v>
                </c:pt>
                <c:pt idx="292">
                  <c:v>49.925042002195198</c:v>
                </c:pt>
                <c:pt idx="293">
                  <c:v>49.926692868807024</c:v>
                </c:pt>
                <c:pt idx="294">
                  <c:v>49.928307376916095</c:v>
                </c:pt>
                <c:pt idx="295">
                  <c:v>49.929886327278012</c:v>
                </c:pt>
                <c:pt idx="296">
                  <c:v>49.93143050301267</c:v>
                </c:pt>
                <c:pt idx="297">
                  <c:v>49.932940669992597</c:v>
                </c:pt>
                <c:pt idx="298">
                  <c:v>49.93441757722281</c:v>
                </c:pt>
                <c:pt idx="299">
                  <c:v>49.935861957212353</c:v>
                </c:pt>
                <c:pt idx="300">
                  <c:v>49.937274526337553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7-488A-A4C8-7213BD8AEC00}"/>
            </c:ext>
          </c:extLst>
        </c:ser>
        <c:ser>
          <c:idx val="1"/>
          <c:order val="1"/>
          <c:tx>
            <c:v>Constant Aileron Deflection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Sheet1!$H$6:$H$306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Sheet1!$J$6:$J$306</c:f>
              <c:numCache>
                <c:formatCode>General</c:formatCode>
                <c:ptCount val="301"/>
                <c:pt idx="0">
                  <c:v>0</c:v>
                </c:pt>
                <c:pt idx="1">
                  <c:v>1.1135017734620629</c:v>
                </c:pt>
                <c:pt idx="2">
                  <c:v>2.2022058229340624</c:v>
                </c:pt>
                <c:pt idx="3">
                  <c:v>3.2666643946088141</c:v>
                </c:pt>
                <c:pt idx="4">
                  <c:v>4.3074174361368307</c:v>
                </c:pt>
                <c:pt idx="5">
                  <c:v>5.324992870515298</c:v>
                </c:pt>
                <c:pt idx="6">
                  <c:v>6.3199068638775282</c:v>
                </c:pt>
                <c:pt idx="7">
                  <c:v>7.2926640873187374</c:v>
                </c:pt>
                <c:pt idx="8">
                  <c:v>8.2437579728909505</c:v>
                </c:pt>
                <c:pt idx="9">
                  <c:v>9.1736709638968907</c:v>
                </c:pt>
                <c:pt idx="10">
                  <c:v>10.082874759609821</c:v>
                </c:pt>
                <c:pt idx="11">
                  <c:v>10.971830554543455</c:v>
                </c:pt>
                <c:pt idx="12">
                  <c:v>11.84098927239333</c:v>
                </c:pt>
                <c:pt idx="13">
                  <c:v>12.690791794768288</c:v>
                </c:pt>
                <c:pt idx="14">
                  <c:v>13.521669184828104</c:v>
                </c:pt>
                <c:pt idx="15">
                  <c:v>14.334042905940699</c:v>
                </c:pt>
                <c:pt idx="16">
                  <c:v>15.128325035469835</c:v>
                </c:pt>
                <c:pt idx="17">
                  <c:v>15.904918473801775</c:v>
                </c:pt>
                <c:pt idx="18">
                  <c:v>16.664217148716883</c:v>
                </c:pt>
                <c:pt idx="19">
                  <c:v>17.406606215209884</c:v>
                </c:pt>
                <c:pt idx="20">
                  <c:v>18.132462250860108</c:v>
                </c:pt>
                <c:pt idx="21">
                  <c:v>18.842153446850837</c:v>
                </c:pt>
                <c:pt idx="22">
                  <c:v>19.536039794734645</c:v>
                </c:pt>
                <c:pt idx="23">
                  <c:v>20.214473269039459</c:v>
                </c:pt>
                <c:pt idx="24">
                  <c:v>20.877798005807986</c:v>
                </c:pt>
                <c:pt idx="25">
                  <c:v>21.526350477161049</c:v>
                </c:pt>
                <c:pt idx="26">
                  <c:v>22.160459661973416</c:v>
                </c:pt>
                <c:pt idx="27">
                  <c:v>22.780447212748641</c:v>
                </c:pt>
                <c:pt idx="28">
                  <c:v>23.386627618777613</c:v>
                </c:pt>
                <c:pt idx="29">
                  <c:v>23.979308365663559</c:v>
                </c:pt>
                <c:pt idx="30">
                  <c:v>24.558790091294423</c:v>
                </c:pt>
                <c:pt idx="31">
                  <c:v>25.125366738341707</c:v>
                </c:pt>
                <c:pt idx="32">
                  <c:v>25.679325703363205</c:v>
                </c:pt>
                <c:pt idx="33">
                  <c:v>26.220947982585169</c:v>
                </c:pt>
                <c:pt idx="34">
                  <c:v>26.75050831443793</c:v>
                </c:pt>
                <c:pt idx="35">
                  <c:v>27.268275318917226</c:v>
                </c:pt>
                <c:pt idx="36">
                  <c:v>27.774511633841968</c:v>
                </c:pt>
                <c:pt idx="37">
                  <c:v>28.269474048077516</c:v>
                </c:pt>
                <c:pt idx="38">
                  <c:v>28.753413631792096</c:v>
                </c:pt>
                <c:pt idx="39">
                  <c:v>29.226575863812386</c:v>
                </c:pt>
                <c:pt idx="40">
                  <c:v>29.689200756142878</c:v>
                </c:pt>
                <c:pt idx="41">
                  <c:v>30.141522975712213</c:v>
                </c:pt>
                <c:pt idx="42">
                  <c:v>30.583771963408214</c:v>
                </c:pt>
                <c:pt idx="43">
                  <c:v>31.016172050461989</c:v>
                </c:pt>
                <c:pt idx="44">
                  <c:v>31.438942572240176</c:v>
                </c:pt>
                <c:pt idx="45">
                  <c:v>31.85229797950301</c:v>
                </c:pt>
                <c:pt idx="46">
                  <c:v>32.256447947184697</c:v>
                </c:pt>
                <c:pt idx="47">
                  <c:v>32.651597480751221</c:v>
                </c:pt>
                <c:pt idx="48">
                  <c:v>33.037947020189563</c:v>
                </c:pt>
                <c:pt idx="49">
                  <c:v>33.415692541681089</c:v>
                </c:pt>
                <c:pt idx="50">
                  <c:v>33.785025657010657</c:v>
                </c:pt>
                <c:pt idx="51">
                  <c:v>34.146133710761866</c:v>
                </c:pt>
                <c:pt idx="52">
                  <c:v>34.499199875347806</c:v>
                </c:pt>
                <c:pt idx="53">
                  <c:v>34.844403243925427</c:v>
                </c:pt>
                <c:pt idx="54">
                  <c:v>35.181918921240722</c:v>
                </c:pt>
                <c:pt idx="55">
                  <c:v>35.511918112450786</c:v>
                </c:pt>
                <c:pt idx="56">
                  <c:v>35.834568209967777</c:v>
                </c:pt>
                <c:pt idx="57">
                  <c:v>36.150032878368911</c:v>
                </c:pt>
                <c:pt idx="58">
                  <c:v>36.458472137415463</c:v>
                </c:pt>
                <c:pt idx="59">
                  <c:v>36.760042443222936</c:v>
                </c:pt>
                <c:pt idx="60">
                  <c:v>37.05489676762361</c:v>
                </c:pt>
                <c:pt idx="61">
                  <c:v>37.34318467576162</c:v>
                </c:pt>
                <c:pt idx="62">
                  <c:v>37.625052401960048</c:v>
                </c:pt>
                <c:pt idx="63">
                  <c:v>37.900642923898403</c:v>
                </c:pt>
                <c:pt idx="64">
                  <c:v>38.170096035138201</c:v>
                </c:pt>
                <c:pt idx="65">
                  <c:v>38.433548416033389</c:v>
                </c:pt>
                <c:pt idx="66">
                  <c:v>38.691133703061588</c:v>
                </c:pt>
                <c:pt idx="67">
                  <c:v>38.942982556611312</c:v>
                </c:pt>
                <c:pt idx="68">
                  <c:v>39.189222727259597</c:v>
                </c:pt>
                <c:pt idx="69">
                  <c:v>39.429979120573591</c:v>
                </c:pt>
                <c:pt idx="70">
                  <c:v>39.665373860469039</c:v>
                </c:pt>
                <c:pt idx="71">
                  <c:v>39.895526351157741</c:v>
                </c:pt>
                <c:pt idx="72">
                  <c:v>40.120553337715471</c:v>
                </c:pt>
                <c:pt idx="73">
                  <c:v>40.340568965301024</c:v>
                </c:pt>
                <c:pt idx="74">
                  <c:v>40.555684837056461</c:v>
                </c:pt>
                <c:pt idx="75">
                  <c:v>40.766010070717904</c:v>
                </c:pt>
                <c:pt idx="76">
                  <c:v>40.971651353965633</c:v>
                </c:pt>
                <c:pt idx="77">
                  <c:v>41.172712998541492</c:v>
                </c:pt>
                <c:pt idx="78">
                  <c:v>41.369296993161143</c:v>
                </c:pt>
                <c:pt idx="79">
                  <c:v>41.561503055247933</c:v>
                </c:pt>
                <c:pt idx="80">
                  <c:v>41.749428681514644</c:v>
                </c:pt>
                <c:pt idx="81">
                  <c:v>41.93316919741882</c:v>
                </c:pt>
                <c:pt idx="82">
                  <c:v>42.11281780551667</c:v>
                </c:pt>
                <c:pt idx="83">
                  <c:v>42.288465632740184</c:v>
                </c:pt>
                <c:pt idx="84">
                  <c:v>42.460201776621332</c:v>
                </c:pt>
                <c:pt idx="85">
                  <c:v>42.628113350486899</c:v>
                </c:pt>
                <c:pt idx="86">
                  <c:v>42.792285527646783</c:v>
                </c:pt>
                <c:pt idx="87">
                  <c:v>42.952801584598255</c:v>
                </c:pt>
                <c:pt idx="88">
                  <c:v>43.109742943268031</c:v>
                </c:pt>
                <c:pt idx="89">
                  <c:v>43.263189212313641</c:v>
                </c:pt>
                <c:pt idx="90">
                  <c:v>43.413218227504984</c:v>
                </c:pt>
                <c:pt idx="91">
                  <c:v>43.559906091206599</c:v>
                </c:pt>
                <c:pt idx="92">
                  <c:v>43.703327210980675</c:v>
                </c:pt>
                <c:pt idx="93">
                  <c:v>43.843554337330339</c:v>
                </c:pt>
                <c:pt idx="94">
                  <c:v>43.980658600602446</c:v>
                </c:pt>
                <c:pt idx="95">
                  <c:v>44.1147095470685</c:v>
                </c:pt>
                <c:pt idx="96">
                  <c:v>44.245775174202073</c:v>
                </c:pt>
                <c:pt idx="97">
                  <c:v>44.373921965170581</c:v>
                </c:pt>
                <c:pt idx="98">
                  <c:v>44.499214922558949</c:v>
                </c:pt>
                <c:pt idx="99">
                  <c:v>44.621717601342233</c:v>
                </c:pt>
                <c:pt idx="100">
                  <c:v>44.741492141123935</c:v>
                </c:pt>
                <c:pt idx="101">
                  <c:v>44.85859929765639</c:v>
                </c:pt>
                <c:pt idx="102">
                  <c:v>44.973098473659164</c:v>
                </c:pt>
                <c:pt idx="103">
                  <c:v>45.085047748951155</c:v>
                </c:pt>
                <c:pt idx="104">
                  <c:v>45.194503909911639</c:v>
                </c:pt>
                <c:pt idx="105">
                  <c:v>45.301522478285207</c:v>
                </c:pt>
                <c:pt idx="106">
                  <c:v>45.406157739345225</c:v>
                </c:pt>
                <c:pt idx="107">
                  <c:v>45.508462769430103</c:v>
                </c:pt>
                <c:pt idx="108">
                  <c:v>45.608489462866309</c:v>
                </c:pt>
                <c:pt idx="109">
                  <c:v>45.706288558291824</c:v>
                </c:pt>
                <c:pt idx="110">
                  <c:v>45.801909664393349</c:v>
                </c:pt>
                <c:pt idx="111">
                  <c:v>45.895401285070392</c:v>
                </c:pt>
                <c:pt idx="112">
                  <c:v>45.986810844038878</c:v>
                </c:pt>
                <c:pt idx="113">
                  <c:v>46.076184708886906</c:v>
                </c:pt>
                <c:pt idx="114">
                  <c:v>46.163568214594747</c:v>
                </c:pt>
                <c:pt idx="115">
                  <c:v>46.249005686531049</c:v>
                </c:pt>
                <c:pt idx="116">
                  <c:v>46.332540462936926</c:v>
                </c:pt>
                <c:pt idx="117">
                  <c:v>46.41421491690933</c:v>
                </c:pt>
                <c:pt idx="118">
                  <c:v>46.494070477894837</c:v>
                </c:pt>
                <c:pt idx="119">
                  <c:v>46.572147652704778</c:v>
                </c:pt>
                <c:pt idx="120">
                  <c:v>46.648486046062366</c:v>
                </c:pt>
                <c:pt idx="121">
                  <c:v>46.723124380692212</c:v>
                </c:pt>
                <c:pt idx="122">
                  <c:v>46.79610051696249</c:v>
                </c:pt>
                <c:pt idx="123">
                  <c:v>46.86745147208962</c:v>
                </c:pt>
                <c:pt idx="124">
                  <c:v>46.9372134389153</c:v>
                </c:pt>
                <c:pt idx="125">
                  <c:v>47.005421804265374</c:v>
                </c:pt>
                <c:pt idx="126">
                  <c:v>47.072111166899802</c:v>
                </c:pt>
                <c:pt idx="127">
                  <c:v>47.137315355062938</c:v>
                </c:pt>
                <c:pt idx="128">
                  <c:v>47.201067443642941</c:v>
                </c:pt>
                <c:pt idx="129">
                  <c:v>47.263399770949029</c:v>
                </c:pt>
                <c:pt idx="130">
                  <c:v>47.324343955115125</c:v>
                </c:pt>
                <c:pt idx="131">
                  <c:v>47.383930910138204</c:v>
                </c:pt>
                <c:pt idx="132">
                  <c:v>47.442190861559411</c:v>
                </c:pt>
                <c:pt idx="133">
                  <c:v>47.499153361796033</c:v>
                </c:pt>
                <c:pt idx="134">
                  <c:v>47.554847305131965</c:v>
                </c:pt>
                <c:pt idx="135">
                  <c:v>47.609300942374389</c:v>
                </c:pt>
                <c:pt idx="136">
                  <c:v>47.662541895183992</c:v>
                </c:pt>
                <c:pt idx="137">
                  <c:v>47.714597170086108</c:v>
                </c:pt>
                <c:pt idx="138">
                  <c:v>47.765493172169798</c:v>
                </c:pt>
                <c:pt idx="139">
                  <c:v>47.815255718481836</c:v>
                </c:pt>
                <c:pt idx="140">
                  <c:v>47.863910051122467</c:v>
                </c:pt>
                <c:pt idx="141">
                  <c:v>47.911480850049458</c:v>
                </c:pt>
                <c:pt idx="142">
                  <c:v>47.957992245597048</c:v>
                </c:pt>
                <c:pt idx="143">
                  <c:v>48.003467830716069</c:v>
                </c:pt>
                <c:pt idx="144">
                  <c:v>48.047930672941504</c:v>
                </c:pt>
                <c:pt idx="145">
                  <c:v>48.091403326093513</c:v>
                </c:pt>
                <c:pt idx="146">
                  <c:v>48.133907841717885</c:v>
                </c:pt>
                <c:pt idx="147">
                  <c:v>48.175465780271701</c:v>
                </c:pt>
                <c:pt idx="148">
                  <c:v>48.216098222059891</c:v>
                </c:pt>
                <c:pt idx="149">
                  <c:v>48.255825777928258</c:v>
                </c:pt>
                <c:pt idx="150">
                  <c:v>48.294668599718335</c:v>
                </c:pt>
                <c:pt idx="151">
                  <c:v>48.332646390489415</c:v>
                </c:pt>
                <c:pt idx="152">
                  <c:v>48.369778414512986</c:v>
                </c:pt>
                <c:pt idx="153">
                  <c:v>48.406083507044507</c:v>
                </c:pt>
                <c:pt idx="154">
                  <c:v>48.441580083877632</c:v>
                </c:pt>
                <c:pt idx="155">
                  <c:v>48.476286150685652</c:v>
                </c:pt>
                <c:pt idx="156">
                  <c:v>48.510219312154859</c:v>
                </c:pt>
                <c:pt idx="157">
                  <c:v>48.543396780914563</c:v>
                </c:pt>
                <c:pt idx="158">
                  <c:v>48.575835386268203</c:v>
                </c:pt>
                <c:pt idx="159">
                  <c:v>48.607551582730046</c:v>
                </c:pt>
                <c:pt idx="160">
                  <c:v>48.63856145837174</c:v>
                </c:pt>
                <c:pt idx="161">
                  <c:v>48.668880742982992</c:v>
                </c:pt>
                <c:pt idx="162">
                  <c:v>48.698524816050551</c:v>
                </c:pt>
                <c:pt idx="163">
                  <c:v>48.727508714559441</c:v>
                </c:pt>
                <c:pt idx="164">
                  <c:v>48.755847140620503</c:v>
                </c:pt>
                <c:pt idx="165">
                  <c:v>48.783554468928045</c:v>
                </c:pt>
                <c:pt idx="166">
                  <c:v>48.810644754051417</c:v>
                </c:pt>
                <c:pt idx="167">
                  <c:v>48.837131737564221</c:v>
                </c:pt>
                <c:pt idx="168">
                  <c:v>48.863028855014718</c:v>
                </c:pt>
                <c:pt idx="169">
                  <c:v>48.888349242741043</c:v>
                </c:pt>
                <c:pt idx="170">
                  <c:v>48.913105744534612</c:v>
                </c:pt>
                <c:pt idx="171">
                  <c:v>48.937310918155141</c:v>
                </c:pt>
                <c:pt idx="172">
                  <c:v>48.960977041700602</c:v>
                </c:pt>
                <c:pt idx="173">
                  <c:v>48.984116119835285</c:v>
                </c:pt>
                <c:pt idx="174">
                  <c:v>49.006739889879185</c:v>
                </c:pt>
                <c:pt idx="175">
                  <c:v>49.028859827761757</c:v>
                </c:pt>
                <c:pt idx="176">
                  <c:v>49.050487153843108</c:v>
                </c:pt>
                <c:pt idx="177">
                  <c:v>49.071632838605524</c:v>
                </c:pt>
                <c:pt idx="178">
                  <c:v>49.092307608218256</c:v>
                </c:pt>
                <c:pt idx="179">
                  <c:v>49.112521949978394</c:v>
                </c:pt>
                <c:pt idx="180">
                  <c:v>49.132286117630549</c:v>
                </c:pt>
                <c:pt idx="181">
                  <c:v>49.151610136568067</c:v>
                </c:pt>
                <c:pt idx="182">
                  <c:v>49.17050380891844</c:v>
                </c:pt>
                <c:pt idx="183">
                  <c:v>49.188976718515427</c:v>
                </c:pt>
                <c:pt idx="184">
                  <c:v>49.207038235760471</c:v>
                </c:pt>
                <c:pt idx="185">
                  <c:v>49.224697522375841</c:v>
                </c:pt>
                <c:pt idx="186">
                  <c:v>49.241963536051919</c:v>
                </c:pt>
                <c:pt idx="187">
                  <c:v>49.258845034991019</c:v>
                </c:pt>
                <c:pt idx="188">
                  <c:v>49.275350582349972</c:v>
                </c:pt>
                <c:pt idx="189">
                  <c:v>49.2914885505838</c:v>
                </c:pt>
                <c:pt idx="190">
                  <c:v>49.307267125692661</c:v>
                </c:pt>
                <c:pt idx="191">
                  <c:v>49.322694311374192</c:v>
                </c:pt>
                <c:pt idx="192">
                  <c:v>49.337777933083409</c:v>
                </c:pt>
                <c:pt idx="193">
                  <c:v>49.352525642002156</c:v>
                </c:pt>
                <c:pt idx="194">
                  <c:v>49.36694491892019</c:v>
                </c:pt>
                <c:pt idx="195">
                  <c:v>49.381043078029819</c:v>
                </c:pt>
                <c:pt idx="196">
                  <c:v>49.394827270636029</c:v>
                </c:pt>
                <c:pt idx="197">
                  <c:v>49.408304488783983</c:v>
                </c:pt>
                <c:pt idx="198">
                  <c:v>49.421481568805753</c:v>
                </c:pt>
                <c:pt idx="199">
                  <c:v>49.434365194788057</c:v>
                </c:pt>
                <c:pt idx="200">
                  <c:v>49.446961901962766</c:v>
                </c:pt>
                <c:pt idx="201">
                  <c:v>49.459278080021896</c:v>
                </c:pt>
                <c:pt idx="202">
                  <c:v>49.471319976358807</c:v>
                </c:pt>
                <c:pt idx="203">
                  <c:v>49.483093699237173</c:v>
                </c:pt>
                <c:pt idx="204">
                  <c:v>49.494605220889433</c:v>
                </c:pt>
                <c:pt idx="205">
                  <c:v>49.505860380546196</c:v>
                </c:pt>
                <c:pt idx="206">
                  <c:v>49.516864887398192</c:v>
                </c:pt>
                <c:pt idx="207">
                  <c:v>49.527624323492269</c:v>
                </c:pt>
                <c:pt idx="208">
                  <c:v>49.5381441465629</c:v>
                </c:pt>
                <c:pt idx="209">
                  <c:v>49.548429692800617</c:v>
                </c:pt>
                <c:pt idx="210">
                  <c:v>49.558486179558805</c:v>
                </c:pt>
                <c:pt idx="211">
                  <c:v>49.568318708000191</c:v>
                </c:pt>
                <c:pt idx="212">
                  <c:v>49.577932265684439</c:v>
                </c:pt>
                <c:pt idx="213">
                  <c:v>49.587331729098068</c:v>
                </c:pt>
                <c:pt idx="214">
                  <c:v>49.596521866128086</c:v>
                </c:pt>
                <c:pt idx="215">
                  <c:v>49.605507338480479</c:v>
                </c:pt>
                <c:pt idx="216">
                  <c:v>49.614292704044871</c:v>
                </c:pt>
                <c:pt idx="217">
                  <c:v>49.62288241920654</c:v>
                </c:pt>
                <c:pt idx="218">
                  <c:v>49.631280841106886</c:v>
                </c:pt>
                <c:pt idx="219">
                  <c:v>49.639492229853623</c:v>
                </c:pt>
                <c:pt idx="220">
                  <c:v>49.647520750681721</c:v>
                </c:pt>
                <c:pt idx="221">
                  <c:v>49.65537047606621</c:v>
                </c:pt>
                <c:pt idx="222">
                  <c:v>49.66304538778796</c:v>
                </c:pt>
                <c:pt idx="223">
                  <c:v>49.670549378953446</c:v>
                </c:pt>
                <c:pt idx="224">
                  <c:v>49.677886255969518</c:v>
                </c:pt>
                <c:pt idx="225">
                  <c:v>49.685059740474209</c:v>
                </c:pt>
                <c:pt idx="226">
                  <c:v>49.692073471224539</c:v>
                </c:pt>
                <c:pt idx="227">
                  <c:v>49.698931005942292</c:v>
                </c:pt>
                <c:pt idx="228">
                  <c:v>49.705635823118648</c:v>
                </c:pt>
                <c:pt idx="229">
                  <c:v>49.712191323778669</c:v>
                </c:pt>
                <c:pt idx="230">
                  <c:v>49.718600833206473</c:v>
                </c:pt>
                <c:pt idx="231">
                  <c:v>49.724867602631981</c:v>
                </c:pt>
                <c:pt idx="232">
                  <c:v>49.730994810880105</c:v>
                </c:pt>
                <c:pt idx="233">
                  <c:v>49.736985565983218</c:v>
                </c:pt>
                <c:pt idx="234">
                  <c:v>49.742842906757694</c:v>
                </c:pt>
                <c:pt idx="235">
                  <c:v>49.748569804345365</c:v>
                </c:pt>
                <c:pt idx="236">
                  <c:v>49.754169163720633</c:v>
                </c:pt>
                <c:pt idx="237">
                  <c:v>49.759643825164005</c:v>
                </c:pt>
                <c:pt idx="238">
                  <c:v>49.764996565702852</c:v>
                </c:pt>
                <c:pt idx="239">
                  <c:v>49.770230100520045</c:v>
                </c:pt>
                <c:pt idx="240">
                  <c:v>49.77534708433123</c:v>
                </c:pt>
                <c:pt idx="241">
                  <c:v>49.780350112731441</c:v>
                </c:pt>
                <c:pt idx="242">
                  <c:v>49.785241723511724</c:v>
                </c:pt>
                <c:pt idx="243">
                  <c:v>49.790024397946432</c:v>
                </c:pt>
                <c:pt idx="244">
                  <c:v>49.794700562051837</c:v>
                </c:pt>
                <c:pt idx="245">
                  <c:v>49.799272587816759</c:v>
                </c:pt>
                <c:pt idx="246">
                  <c:v>49.803742794405728</c:v>
                </c:pt>
                <c:pt idx="247">
                  <c:v>49.808113449335409</c:v>
                </c:pt>
                <c:pt idx="248">
                  <c:v>49.81238676962478</c:v>
                </c:pt>
                <c:pt idx="249">
                  <c:v>49.816564922919738</c:v>
                </c:pt>
                <c:pt idx="250">
                  <c:v>49.820650028592617</c:v>
                </c:pt>
                <c:pt idx="251">
                  <c:v>49.824644158817264</c:v>
                </c:pt>
                <c:pt idx="252">
                  <c:v>49.828549339620139</c:v>
                </c:pt>
                <c:pt idx="253">
                  <c:v>49.832367551908021</c:v>
                </c:pt>
                <c:pt idx="254">
                  <c:v>49.836100732472822</c:v>
                </c:pt>
                <c:pt idx="255">
                  <c:v>49.839750774974036</c:v>
                </c:pt>
                <c:pt idx="256">
                  <c:v>49.843319530899279</c:v>
                </c:pt>
                <c:pt idx="257">
                  <c:v>49.846808810503489</c:v>
                </c:pt>
                <c:pt idx="258">
                  <c:v>49.850220383727155</c:v>
                </c:pt>
                <c:pt idx="259">
                  <c:v>49.853555981094118</c:v>
                </c:pt>
                <c:pt idx="260">
                  <c:v>49.856817294589412</c:v>
                </c:pt>
                <c:pt idx="261">
                  <c:v>49.860005978517485</c:v>
                </c:pt>
                <c:pt idx="262">
                  <c:v>49.863123650341379</c:v>
                </c:pt>
                <c:pt idx="263">
                  <c:v>49.866171891503178</c:v>
                </c:pt>
                <c:pt idx="264">
                  <c:v>49.869152248226186</c:v>
                </c:pt>
                <c:pt idx="265">
                  <c:v>49.872066232299261</c:v>
                </c:pt>
                <c:pt idx="266">
                  <c:v>49.874915321843673</c:v>
                </c:pt>
                <c:pt idx="267">
                  <c:v>49.877700962062875</c:v>
                </c:pt>
                <c:pt idx="268">
                  <c:v>49.880424565975588</c:v>
                </c:pt>
                <c:pt idx="269">
                  <c:v>49.883087515132559</c:v>
                </c:pt>
                <c:pt idx="270">
                  <c:v>49.88569116031735</c:v>
                </c:pt>
                <c:pt idx="271">
                  <c:v>49.888236822231534</c:v>
                </c:pt>
                <c:pt idx="272">
                  <c:v>49.890725792164595</c:v>
                </c:pt>
                <c:pt idx="273">
                  <c:v>49.893159332648963</c:v>
                </c:pt>
                <c:pt idx="274">
                  <c:v>49.895538678100429</c:v>
                </c:pt>
                <c:pt idx="275">
                  <c:v>49.897865035444298</c:v>
                </c:pt>
                <c:pt idx="276">
                  <c:v>49.900139584727604</c:v>
                </c:pt>
                <c:pt idx="277">
                  <c:v>49.902363479717692</c:v>
                </c:pt>
                <c:pt idx="278">
                  <c:v>49.904537848487472</c:v>
                </c:pt>
                <c:pt idx="279">
                  <c:v>49.906663793987626</c:v>
                </c:pt>
                <c:pt idx="280">
                  <c:v>49.908742394606087</c:v>
                </c:pt>
                <c:pt idx="281">
                  <c:v>49.910774704715045</c:v>
                </c:pt>
                <c:pt idx="282">
                  <c:v>49.912761755205793</c:v>
                </c:pt>
                <c:pt idx="283">
                  <c:v>49.914704554011635</c:v>
                </c:pt>
                <c:pt idx="284">
                  <c:v>49.916604086619159</c:v>
                </c:pt>
                <c:pt idx="285">
                  <c:v>49.918461316568141</c:v>
                </c:pt>
                <c:pt idx="286">
                  <c:v>49.920277185940286</c:v>
                </c:pt>
                <c:pt idx="287">
                  <c:v>49.922052615837103</c:v>
                </c:pt>
                <c:pt idx="288">
                  <c:v>49.923788506847146</c:v>
                </c:pt>
                <c:pt idx="289">
                  <c:v>49.925485739502825</c:v>
                </c:pt>
                <c:pt idx="290">
                  <c:v>49.927145174727059</c:v>
                </c:pt>
                <c:pt idx="291">
                  <c:v>49.92876765426999</c:v>
                </c:pt>
                <c:pt idx="292">
                  <c:v>49.930354001135953</c:v>
                </c:pt>
                <c:pt idx="293">
                  <c:v>49.931905020000947</c:v>
                </c:pt>
                <c:pt idx="294">
                  <c:v>49.933421497620806</c:v>
                </c:pt>
                <c:pt idx="295">
                  <c:v>49.934904203230282</c:v>
                </c:pt>
                <c:pt idx="296">
                  <c:v>49.93635388893324</c:v>
                </c:pt>
                <c:pt idx="297">
                  <c:v>49.937771290084179</c:v>
                </c:pt>
                <c:pt idx="298">
                  <c:v>49.939157125661211</c:v>
                </c:pt>
                <c:pt idx="299">
                  <c:v>49.940512098630784</c:v>
                </c:pt>
                <c:pt idx="300">
                  <c:v>49.941836896304267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7-488A-A4C8-7213BD8AEC00}"/>
            </c:ext>
          </c:extLst>
        </c:ser>
        <c:ser>
          <c:idx val="2"/>
          <c:order val="2"/>
          <c:tx>
            <c:v>Variable Aileron Deflection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Sheet1!$H$6:$H$306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Sheet1!$K$6:$K$306</c:f>
              <c:numCache>
                <c:formatCode>General</c:formatCode>
                <c:ptCount val="301"/>
                <c:pt idx="0">
                  <c:v>0</c:v>
                </c:pt>
                <c:pt idx="1">
                  <c:v>3.9663153939347877</c:v>
                </c:pt>
                <c:pt idx="2">
                  <c:v>7.8443008033644501</c:v>
                </c:pt>
                <c:pt idx="3">
                  <c:v>11.635923340176914</c:v>
                </c:pt>
                <c:pt idx="4">
                  <c:v>15.34310630860859</c:v>
                </c:pt>
                <c:pt idx="5">
                  <c:v>18.967730180842324</c:v>
                </c:pt>
                <c:pt idx="6">
                  <c:v>22.511633550878756</c:v>
                </c:pt>
                <c:pt idx="7">
                  <c:v>25.976614067164913</c:v>
                </c:pt>
                <c:pt idx="8">
                  <c:v>29.364429344453146</c:v>
                </c:pt>
                <c:pt idx="9">
                  <c:v>32.67679785535293</c:v>
                </c:pt>
                <c:pt idx="10">
                  <c:v>35.915399802027778</c:v>
                </c:pt>
                <c:pt idx="11">
                  <c:v>39.081877968479425</c:v>
                </c:pt>
                <c:pt idx="12">
                  <c:v>42.177838553851615</c:v>
                </c:pt>
                <c:pt idx="13">
                  <c:v>45.204851987176198</c:v>
                </c:pt>
                <c:pt idx="14">
                  <c:v>48.164453723974773</c:v>
                </c:pt>
                <c:pt idx="15">
                  <c:v>48.205331404647289</c:v>
                </c:pt>
                <c:pt idx="16">
                  <c:v>48.245298737921324</c:v>
                </c:pt>
                <c:pt idx="17">
                  <c:v>48.284375997265741</c:v>
                </c:pt>
                <c:pt idx="18">
                  <c:v>48.322583004658512</c:v>
                </c:pt>
                <c:pt idx="19">
                  <c:v>48.359939140641472</c:v>
                </c:pt>
                <c:pt idx="20">
                  <c:v>48.396463354151102</c:v>
                </c:pt>
                <c:pt idx="21">
                  <c:v>48.432174172130388</c:v>
                </c:pt>
                <c:pt idx="22">
                  <c:v>48.467089708926636</c:v>
                </c:pt>
                <c:pt idx="23">
                  <c:v>48.501227675480003</c:v>
                </c:pt>
                <c:pt idx="24">
                  <c:v>48.534605388307384</c:v>
                </c:pt>
                <c:pt idx="25">
                  <c:v>48.567239778286215</c:v>
                </c:pt>
                <c:pt idx="26">
                  <c:v>48.599147399242696</c:v>
                </c:pt>
                <c:pt idx="27">
                  <c:v>48.630344436348743</c:v>
                </c:pt>
                <c:pt idx="28">
                  <c:v>48.660846714331903</c:v>
                </c:pt>
                <c:pt idx="29">
                  <c:v>48.690669705502479</c:v>
                </c:pt>
                <c:pt idx="30">
                  <c:v>48.719828537601892</c:v>
                </c:pt>
                <c:pt idx="31">
                  <c:v>48.748338001476206</c:v>
                </c:pt>
                <c:pt idx="32">
                  <c:v>48.776212558578834</c:v>
                </c:pt>
                <c:pt idx="33">
                  <c:v>48.803466348306095</c:v>
                </c:pt>
                <c:pt idx="34">
                  <c:v>48.83011319516946</c:v>
                </c:pt>
                <c:pt idx="35">
                  <c:v>48.856166615808036</c:v>
                </c:pt>
                <c:pt idx="36">
                  <c:v>48.881639825844893</c:v>
                </c:pt>
                <c:pt idx="37">
                  <c:v>48.906545746590716</c:v>
                </c:pt>
                <c:pt idx="38">
                  <c:v>48.930897011598134</c:v>
                </c:pt>
                <c:pt idx="39">
                  <c:v>48.954705973070112</c:v>
                </c:pt>
                <c:pt idx="40">
                  <c:v>48.977984708125625</c:v>
                </c:pt>
                <c:pt idx="41">
                  <c:v>49.000745024925777</c:v>
                </c:pt>
                <c:pt idx="42">
                  <c:v>49.022998468663495</c:v>
                </c:pt>
                <c:pt idx="43">
                  <c:v>49.044756327419861</c:v>
                </c:pt>
                <c:pt idx="44">
                  <c:v>49.06602963788999</c:v>
                </c:pt>
                <c:pt idx="45">
                  <c:v>49.086829190981398</c:v>
                </c:pt>
                <c:pt idx="46">
                  <c:v>49.10716553728772</c:v>
                </c:pt>
                <c:pt idx="47">
                  <c:v>49.127048992440486</c:v>
                </c:pt>
                <c:pt idx="48">
                  <c:v>49.146489642341749</c:v>
                </c:pt>
                <c:pt idx="49">
                  <c:v>49.165497348280162</c:v>
                </c:pt>
                <c:pt idx="50">
                  <c:v>49.184081751933135</c:v>
                </c:pt>
                <c:pt idx="51">
                  <c:v>49.202252280257582</c:v>
                </c:pt>
                <c:pt idx="52">
                  <c:v>49.220018150271756</c:v>
                </c:pt>
                <c:pt idx="53">
                  <c:v>49.237388373730568</c:v>
                </c:pt>
                <c:pt idx="54">
                  <c:v>49.254371761696845</c:v>
                </c:pt>
                <c:pt idx="55">
                  <c:v>49.270976929010722</c:v>
                </c:pt>
                <c:pt idx="56">
                  <c:v>49.287212298659547</c:v>
                </c:pt>
                <c:pt idx="57">
                  <c:v>49.303086106050436</c:v>
                </c:pt>
                <c:pt idx="58">
                  <c:v>49.318606403187701</c:v>
                </c:pt>
                <c:pt idx="59">
                  <c:v>49.333781062757225</c:v>
                </c:pt>
                <c:pt idx="60">
                  <c:v>49.348617782119902</c:v>
                </c:pt>
                <c:pt idx="61">
                  <c:v>49.363124087216121</c:v>
                </c:pt>
                <c:pt idx="62">
                  <c:v>49.377307336383325</c:v>
                </c:pt>
                <c:pt idx="63">
                  <c:v>49.391174724088508</c:v>
                </c:pt>
                <c:pt idx="64">
                  <c:v>49.404733284577624</c:v>
                </c:pt>
                <c:pt idx="65">
                  <c:v>49.417989895443739</c:v>
                </c:pt>
                <c:pt idx="66">
                  <c:v>49.430951281115661</c:v>
                </c:pt>
                <c:pt idx="67">
                  <c:v>49.443624016268942</c:v>
                </c:pt>
                <c:pt idx="68">
                  <c:v>49.456014529160868</c:v>
                </c:pt>
                <c:pt idx="69">
                  <c:v>49.468129104891204</c:v>
                </c:pt>
                <c:pt idx="70">
                  <c:v>49.479973888590337</c:v>
                </c:pt>
                <c:pt idx="71">
                  <c:v>49.491554888536363</c:v>
                </c:pt>
                <c:pt idx="72">
                  <c:v>49.502877979202822</c:v>
                </c:pt>
                <c:pt idx="73">
                  <c:v>49.513948904238518</c:v>
                </c:pt>
                <c:pt idx="74">
                  <c:v>49.524773279380987</c:v>
                </c:pt>
                <c:pt idx="75">
                  <c:v>49.535356595305103</c:v>
                </c:pt>
                <c:pt idx="76">
                  <c:v>49.545704220408204</c:v>
                </c:pt>
                <c:pt idx="77">
                  <c:v>49.555821403533237</c:v>
                </c:pt>
                <c:pt idx="78">
                  <c:v>49.565713276631229</c:v>
                </c:pt>
                <c:pt idx="79">
                  <c:v>49.575384857364469</c:v>
                </c:pt>
                <c:pt idx="80">
                  <c:v>49.584841051651736</c:v>
                </c:pt>
                <c:pt idx="81">
                  <c:v>49.594086656156826</c:v>
                </c:pt>
                <c:pt idx="82">
                  <c:v>49.603126360721653</c:v>
                </c:pt>
                <c:pt idx="83">
                  <c:v>49.611964750745187</c:v>
                </c:pt>
                <c:pt idx="84">
                  <c:v>49.620606309509405</c:v>
                </c:pt>
                <c:pt idx="85">
                  <c:v>49.62905542045344</c:v>
                </c:pt>
                <c:pt idx="86">
                  <c:v>49.637316369397062</c:v>
                </c:pt>
                <c:pt idx="87">
                  <c:v>49.645393346714705</c:v>
                </c:pt>
                <c:pt idx="88">
                  <c:v>49.653290449460997</c:v>
                </c:pt>
                <c:pt idx="89">
                  <c:v>49.661011683449026</c:v>
                </c:pt>
                <c:pt idx="90">
                  <c:v>49.668560965282275</c:v>
                </c:pt>
                <c:pt idx="91">
                  <c:v>49.675942124341333</c:v>
                </c:pt>
                <c:pt idx="92">
                  <c:v>49.683158904726341</c:v>
                </c:pt>
                <c:pt idx="93">
                  <c:v>49.690214967156201</c:v>
                </c:pt>
                <c:pt idx="94">
                  <c:v>49.69711389082547</c:v>
                </c:pt>
                <c:pt idx="95">
                  <c:v>49.703859175219925</c:v>
                </c:pt>
                <c:pt idx="96">
                  <c:v>49.710454241891668</c:v>
                </c:pt>
                <c:pt idx="97">
                  <c:v>49.716902436194708</c:v>
                </c:pt>
                <c:pt idx="98">
                  <c:v>49.723207028981911</c:v>
                </c:pt>
                <c:pt idx="99">
                  <c:v>49.72937121826412</c:v>
                </c:pt>
                <c:pt idx="100">
                  <c:v>49.735398130832372</c:v>
                </c:pt>
                <c:pt idx="101">
                  <c:v>49.741290823843961</c:v>
                </c:pt>
                <c:pt idx="102">
                  <c:v>49.747052286373176</c:v>
                </c:pt>
                <c:pt idx="103">
                  <c:v>49.752685440927507</c:v>
                </c:pt>
                <c:pt idx="104">
                  <c:v>49.758193144930111</c:v>
                </c:pt>
                <c:pt idx="105">
                  <c:v>49.76357819216922</c:v>
                </c:pt>
                <c:pt idx="106">
                  <c:v>49.76884331421531</c:v>
                </c:pt>
                <c:pt idx="107">
                  <c:v>49.773991181806686</c:v>
                </c:pt>
                <c:pt idx="108">
                  <c:v>49.779024406204215</c:v>
                </c:pt>
                <c:pt idx="109">
                  <c:v>49.78394554051588</c:v>
                </c:pt>
                <c:pt idx="110">
                  <c:v>49.788757080991878</c:v>
                </c:pt>
                <c:pt idx="111">
                  <c:v>49.793461468290815</c:v>
                </c:pt>
                <c:pt idx="112">
                  <c:v>49.798061088717745</c:v>
                </c:pt>
                <c:pt idx="113">
                  <c:v>49.80255827543462</c:v>
                </c:pt>
                <c:pt idx="114">
                  <c:v>49.806955309643797</c:v>
                </c:pt>
                <c:pt idx="115">
                  <c:v>49.811254421745176</c:v>
                </c:pt>
                <c:pt idx="116">
                  <c:v>49.815457792467576</c:v>
                </c:pt>
                <c:pt idx="117">
                  <c:v>49.819567553974892</c:v>
                </c:pt>
                <c:pt idx="118">
                  <c:v>49.823585790947675</c:v>
                </c:pt>
                <c:pt idx="119">
                  <c:v>49.827514541640546</c:v>
                </c:pt>
                <c:pt idx="120">
                  <c:v>49.831355798916142</c:v>
                </c:pt>
                <c:pt idx="121">
                  <c:v>49.83511151125596</c:v>
                </c:pt>
                <c:pt idx="122">
                  <c:v>49.838783583748757</c:v>
                </c:pt>
                <c:pt idx="123">
                  <c:v>49.842373879056893</c:v>
                </c:pt>
                <c:pt idx="124">
                  <c:v>49.845884218361178</c:v>
                </c:pt>
                <c:pt idx="125">
                  <c:v>49.849316382284641</c:v>
                </c:pt>
                <c:pt idx="126">
                  <c:v>49.852672111795798</c:v>
                </c:pt>
                <c:pt idx="127">
                  <c:v>49.855953109091715</c:v>
                </c:pt>
                <c:pt idx="128">
                  <c:v>49.85916103846148</c:v>
                </c:pt>
                <c:pt idx="129">
                  <c:v>49.862297527130394</c:v>
                </c:pt>
                <c:pt idx="130">
                  <c:v>49.865364166085399</c:v>
                </c:pt>
                <c:pt idx="131">
                  <c:v>49.868362510882108</c:v>
                </c:pt>
                <c:pt idx="132">
                  <c:v>49.871294082433842</c:v>
                </c:pt>
                <c:pt idx="133">
                  <c:v>49.874160367783141</c:v>
                </c:pt>
                <c:pt idx="134">
                  <c:v>49.876962820856043</c:v>
                </c:pt>
                <c:pt idx="135">
                  <c:v>49.879702863199611</c:v>
                </c:pt>
                <c:pt idx="136">
                  <c:v>49.882381884703001</c:v>
                </c:pt>
                <c:pt idx="137">
                  <c:v>49.885001244302494</c:v>
                </c:pt>
                <c:pt idx="138">
                  <c:v>49.887562270670799</c:v>
                </c:pt>
                <c:pt idx="139">
                  <c:v>49.89006626289104</c:v>
                </c:pt>
                <c:pt idx="140">
                  <c:v>49.892514491115719</c:v>
                </c:pt>
                <c:pt idx="141">
                  <c:v>49.894908197211002</c:v>
                </c:pt>
                <c:pt idx="142">
                  <c:v>49.897248595386642</c:v>
                </c:pt>
                <c:pt idx="143">
                  <c:v>49.899536872811893</c:v>
                </c:pt>
                <c:pt idx="144">
                  <c:v>49.901774190217722</c:v>
                </c:pt>
                <c:pt idx="145">
                  <c:v>49.903961682485566</c:v>
                </c:pt>
                <c:pt idx="146">
                  <c:v>49.906100459223019</c:v>
                </c:pt>
                <c:pt idx="147">
                  <c:v>49.908191605326671</c:v>
                </c:pt>
                <c:pt idx="148">
                  <c:v>49.910236181532419</c:v>
                </c:pt>
                <c:pt idx="149">
                  <c:v>49.912235224953548</c:v>
                </c:pt>
                <c:pt idx="150">
                  <c:v>49.914189749606784</c:v>
                </c:pt>
                <c:pt idx="151">
                  <c:v>49.916100746926666</c:v>
                </c:pt>
                <c:pt idx="152">
                  <c:v>49.917969186268451</c:v>
                </c:pt>
                <c:pt idx="153">
                  <c:v>49.919796015399825</c:v>
                </c:pt>
                <c:pt idx="154">
                  <c:v>49.921582160981643</c:v>
                </c:pt>
                <c:pt idx="155">
                  <c:v>49.923328529038002</c:v>
                </c:pt>
                <c:pt idx="156">
                  <c:v>49.925036005415805</c:v>
                </c:pt>
                <c:pt idx="157">
                  <c:v>49.92670545623411</c:v>
                </c:pt>
                <c:pt idx="158">
                  <c:v>49.928337728323477</c:v>
                </c:pt>
                <c:pt idx="159">
                  <c:v>49.929933649655517</c:v>
                </c:pt>
                <c:pt idx="160">
                  <c:v>49.931494029762888</c:v>
                </c:pt>
                <c:pt idx="161">
                  <c:v>49.933019660149924</c:v>
                </c:pt>
                <c:pt idx="162">
                  <c:v>49.934511314694127</c:v>
                </c:pt>
                <c:pt idx="163">
                  <c:v>49.935969750038723</c:v>
                </c:pt>
                <c:pt idx="164">
                  <c:v>49.937395705976463</c:v>
                </c:pt>
                <c:pt idx="165">
                  <c:v>49.938789905824898</c:v>
                </c:pt>
                <c:pt idx="166">
                  <c:v>49.94015305679325</c:v>
                </c:pt>
                <c:pt idx="167">
                  <c:v>49.941485850341188</c:v>
                </c:pt>
                <c:pt idx="168">
                  <c:v>49.942788962529541</c:v>
                </c:pt>
                <c:pt idx="169">
                  <c:v>49.944063054363241</c:v>
                </c:pt>
                <c:pt idx="170">
                  <c:v>49.945308772126616</c:v>
                </c:pt>
                <c:pt idx="171">
                  <c:v>49.946526747711211</c:v>
                </c:pt>
                <c:pt idx="172">
                  <c:v>49.947717598936336</c:v>
                </c:pt>
                <c:pt idx="173">
                  <c:v>49.948881929862438</c:v>
                </c:pt>
                <c:pt idx="174">
                  <c:v>49.950020331097519</c:v>
                </c:pt>
                <c:pt idx="175">
                  <c:v>49.951133380096721</c:v>
                </c:pt>
                <c:pt idx="176">
                  <c:v>49.952221641455232</c:v>
                </c:pt>
                <c:pt idx="177">
                  <c:v>49.953285667194685</c:v>
                </c:pt>
                <c:pt idx="178">
                  <c:v>49.954325997043178</c:v>
                </c:pt>
                <c:pt idx="179">
                  <c:v>49.955343158709049</c:v>
                </c:pt>
                <c:pt idx="180">
                  <c:v>49.956337668148542</c:v>
                </c:pt>
                <c:pt idx="181">
                  <c:v>49.957310029827546</c:v>
                </c:pt>
                <c:pt idx="182">
                  <c:v>49.958260736977465</c:v>
                </c:pt>
                <c:pt idx="183">
                  <c:v>49.959190271845436</c:v>
                </c:pt>
                <c:pt idx="184">
                  <c:v>49.96009910593893</c:v>
                </c:pt>
                <c:pt idx="185">
                  <c:v>49.960987700264923</c:v>
                </c:pt>
                <c:pt idx="186">
                  <c:v>49.961856505563759</c:v>
                </c:pt>
                <c:pt idx="187">
                  <c:v>49.962705962537775</c:v>
                </c:pt>
                <c:pt idx="188">
                  <c:v>49.963536502074852</c:v>
                </c:pt>
                <c:pt idx="189">
                  <c:v>49.964348545466976</c:v>
                </c:pt>
                <c:pt idx="190">
                  <c:v>49.965142504623955</c:v>
                </c:pt>
                <c:pt idx="191">
                  <c:v>49.965918782282351</c:v>
                </c:pt>
                <c:pt idx="192">
                  <c:v>49.966677772209756</c:v>
                </c:pt>
                <c:pt idx="193">
                  <c:v>49.967419859404558</c:v>
                </c:pt>
                <c:pt idx="194">
                  <c:v>49.968145420291208</c:v>
                </c:pt>
                <c:pt idx="195">
                  <c:v>49.968854822911183</c:v>
                </c:pt>
                <c:pt idx="196">
                  <c:v>49.969548427109643</c:v>
                </c:pt>
                <c:pt idx="197">
                  <c:v>49.970226584718006</c:v>
                </c:pt>
                <c:pt idx="198">
                  <c:v>49.970889639732377</c:v>
                </c:pt>
                <c:pt idx="199">
                  <c:v>49.971537928488061</c:v>
                </c:pt>
                <c:pt idx="200">
                  <c:v>49.972171779830163</c:v>
                </c:pt>
                <c:pt idx="201">
                  <c:v>49.972791515280392</c:v>
                </c:pt>
                <c:pt idx="202">
                  <c:v>49.973397449200164</c:v>
                </c:pt>
                <c:pt idx="203">
                  <c:v>49.973989888950051</c:v>
                </c:pt>
                <c:pt idx="204">
                  <c:v>49.974569135045691</c:v>
                </c:pt>
                <c:pt idx="205">
                  <c:v>49.97513548131024</c:v>
                </c:pt>
                <c:pt idx="206">
                  <c:v>49.975689215023387</c:v>
                </c:pt>
                <c:pt idx="207">
                  <c:v>49.976230617067102</c:v>
                </c:pt>
                <c:pt idx="208">
                  <c:v>49.976759962068101</c:v>
                </c:pt>
                <c:pt idx="209">
                  <c:v>49.97727751853715</c:v>
                </c:pt>
                <c:pt idx="210">
                  <c:v>49.977783549005274</c:v>
                </c:pt>
                <c:pt idx="211">
                  <c:v>49.978278310156924</c:v>
                </c:pt>
                <c:pt idx="212">
                  <c:v>49.978762052960178</c:v>
                </c:pt>
                <c:pt idx="213">
                  <c:v>49.97923502279405</c:v>
                </c:pt>
                <c:pt idx="214">
                  <c:v>49.979697459572947</c:v>
                </c:pt>
                <c:pt idx="215">
                  <c:v>49.980149597868376</c:v>
                </c:pt>
                <c:pt idx="216">
                  <c:v>49.980591667027923</c:v>
                </c:pt>
                <c:pt idx="217">
                  <c:v>49.981023891291613</c:v>
                </c:pt>
                <c:pt idx="218">
                  <c:v>49.981446489905615</c:v>
                </c:pt>
                <c:pt idx="219">
                  <c:v>49.981859677233494</c:v>
                </c:pt>
                <c:pt idx="220">
                  <c:v>49.982263662864931</c:v>
                </c:pt>
                <c:pt idx="221">
                  <c:v>49.982658651722026</c:v>
                </c:pt>
                <c:pt idx="222">
                  <c:v>49.98304484416326</c:v>
                </c:pt>
                <c:pt idx="223">
                  <c:v>49.983422436085128</c:v>
                </c:pt>
                <c:pt idx="224">
                  <c:v>49.983791619021503</c:v>
                </c:pt>
                <c:pt idx="225">
                  <c:v>49.984152580240796</c:v>
                </c:pt>
                <c:pt idx="226">
                  <c:v>49.984505502840932</c:v>
                </c:pt>
                <c:pt idx="227">
                  <c:v>49.984850565842244</c:v>
                </c:pt>
                <c:pt idx="228">
                  <c:v>49.985187944278273</c:v>
                </c:pt>
                <c:pt idx="229">
                  <c:v>49.985517809284566</c:v>
                </c:pt>
                <c:pt idx="230">
                  <c:v>49.985840328185468</c:v>
                </c:pt>
                <c:pt idx="231">
                  <c:v>49.986155664579009</c:v>
                </c:pt>
                <c:pt idx="232">
                  <c:v>49.986463978419884</c:v>
                </c:pt>
                <c:pt idx="233">
                  <c:v>49.986765426100582</c:v>
                </c:pt>
                <c:pt idx="234">
                  <c:v>49.987060160530746</c:v>
                </c:pt>
                <c:pt idx="235">
                  <c:v>49.98734833121469</c:v>
                </c:pt>
                <c:pt idx="236">
                  <c:v>49.987630084327286</c:v>
                </c:pt>
                <c:pt idx="237">
                  <c:v>49.987905562788072</c:v>
                </c:pt>
                <c:pt idx="238">
                  <c:v>49.988174906333761</c:v>
                </c:pt>
                <c:pt idx="239">
                  <c:v>49.988438251589137</c:v>
                </c:pt>
                <c:pt idx="240">
                  <c:v>49.988695732136335</c:v>
                </c:pt>
                <c:pt idx="241">
                  <c:v>49.98894747858261</c:v>
                </c:pt>
                <c:pt idx="242">
                  <c:v>49.989193618626601</c:v>
                </c:pt>
                <c:pt idx="243">
                  <c:v>49.989434277123081</c:v>
                </c:pt>
                <c:pt idx="244">
                  <c:v>49.989669576146305</c:v>
                </c:pt>
                <c:pt idx="245">
                  <c:v>49.989899635051941</c:v>
                </c:pt>
                <c:pt idx="246">
                  <c:v>49.990124570537589</c:v>
                </c:pt>
                <c:pt idx="247">
                  <c:v>49.990344496701994</c:v>
                </c:pt>
                <c:pt idx="248">
                  <c:v>49.990559525102917</c:v>
                </c:pt>
                <c:pt idx="249">
                  <c:v>49.99076976481372</c:v>
                </c:pt>
                <c:pt idx="250">
                  <c:v>49.990975322478711</c:v>
                </c:pt>
                <c:pt idx="251">
                  <c:v>49.991176302367208</c:v>
                </c:pt>
                <c:pt idx="252">
                  <c:v>49.991372806426462</c:v>
                </c:pt>
                <c:pt idx="253">
                  <c:v>49.991564934333347</c:v>
                </c:pt>
                <c:pt idx="254">
                  <c:v>49.991752783544932</c:v>
                </c:pt>
                <c:pt idx="255">
                  <c:v>49.991936449347911</c:v>
                </c:pt>
                <c:pt idx="256">
                  <c:v>49.992116024906942</c:v>
                </c:pt>
                <c:pt idx="257">
                  <c:v>49.992291601311905</c:v>
                </c:pt>
                <c:pt idx="258">
                  <c:v>49.992463267624103</c:v>
                </c:pt>
                <c:pt idx="259">
                  <c:v>49.992631110921437</c:v>
                </c:pt>
                <c:pt idx="260">
                  <c:v>49.992795216342586</c:v>
                </c:pt>
                <c:pt idx="261">
                  <c:v>49.992955667130182</c:v>
                </c:pt>
                <c:pt idx="262">
                  <c:v>49.993112544673053</c:v>
                </c:pt>
                <c:pt idx="263">
                  <c:v>49.99326592854748</c:v>
                </c:pt>
                <c:pt idx="264">
                  <c:v>49.993415896557579</c:v>
                </c:pt>
                <c:pt idx="265">
                  <c:v>49.993562524774774</c:v>
                </c:pt>
                <c:pt idx="266">
                  <c:v>49.993705887576368</c:v>
                </c:pt>
                <c:pt idx="267">
                  <c:v>49.993846057683292</c:v>
                </c:pt>
                <c:pt idx="268">
                  <c:v>49.993983106196964</c:v>
                </c:pt>
                <c:pt idx="269">
                  <c:v>49.994117102635371</c:v>
                </c:pt>
                <c:pt idx="270">
                  <c:v>49.994248114968343</c:v>
                </c:pt>
                <c:pt idx="271">
                  <c:v>49.99437620965201</c:v>
                </c:pt>
                <c:pt idx="272">
                  <c:v>49.994501451662529</c:v>
                </c:pt>
                <c:pt idx="273">
                  <c:v>49.994623904529035</c:v>
                </c:pt>
                <c:pt idx="274">
                  <c:v>49.994743630365861</c:v>
                </c:pt>
                <c:pt idx="275">
                  <c:v>49.994860689904051</c:v>
                </c:pt>
                <c:pt idx="276">
                  <c:v>49.994975142522172</c:v>
                </c:pt>
                <c:pt idx="277">
                  <c:v>49.995087046276431</c:v>
                </c:pt>
                <c:pt idx="278">
                  <c:v>49.995196457930113</c:v>
                </c:pt>
                <c:pt idx="279">
                  <c:v>49.995303432982389</c:v>
                </c:pt>
                <c:pt idx="280">
                  <c:v>49.995408025696456</c:v>
                </c:pt>
                <c:pt idx="281">
                  <c:v>49.995510289127068</c:v>
                </c:pt>
                <c:pt idx="282">
                  <c:v>49.995610275147456</c:v>
                </c:pt>
                <c:pt idx="283">
                  <c:v>49.995708034475619</c:v>
                </c:pt>
                <c:pt idx="284">
                  <c:v>49.99580361670008</c:v>
                </c:pt>
                <c:pt idx="285">
                  <c:v>49.995897070305013</c:v>
                </c:pt>
                <c:pt idx="286">
                  <c:v>49.995988442694845</c:v>
                </c:pt>
                <c:pt idx="287">
                  <c:v>49.996077780218315</c:v>
                </c:pt>
                <c:pt idx="288">
                  <c:v>49.996165128191969</c:v>
                </c:pt>
                <c:pt idx="289">
                  <c:v>49.996250530923156</c:v>
                </c:pt>
                <c:pt idx="290">
                  <c:v>49.996334031732488</c:v>
                </c:pt>
                <c:pt idx="291">
                  <c:v>49.996415672975836</c:v>
                </c:pt>
                <c:pt idx="292">
                  <c:v>49.996495496065798</c:v>
                </c:pt>
                <c:pt idx="293">
                  <c:v>49.996573541492715</c:v>
                </c:pt>
                <c:pt idx="294">
                  <c:v>49.996649848845209</c:v>
                </c:pt>
                <c:pt idx="295">
                  <c:v>49.99672445683025</c:v>
                </c:pt>
                <c:pt idx="296">
                  <c:v>49.996797403292824</c:v>
                </c:pt>
                <c:pt idx="297">
                  <c:v>49.996868725235089</c:v>
                </c:pt>
                <c:pt idx="298">
                  <c:v>49.996938458835167</c:v>
                </c:pt>
                <c:pt idx="299">
                  <c:v>49.997006639465496</c:v>
                </c:pt>
                <c:pt idx="300">
                  <c:v>49.99707330171077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7-488A-A4C8-7213BD8AE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 val="autoZero"/>
        <c:crossBetween val="midCat"/>
      </c:valAx>
      <c:valAx>
        <c:axId val="823990223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Rolling Rate,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[deg/s]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  <c:majorUnit val="10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52176511381282031"/>
          <c:y val="0.54685365477958658"/>
          <c:w val="0.40985880758519827"/>
          <c:h val="0.23461269659806122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18956118566963"/>
          <c:y val="3.1849676898883975E-2"/>
          <c:w val="0.83826328154029006"/>
          <c:h val="0.79459397771748719"/>
        </c:manualLayout>
      </c:layout>
      <c:scatterChart>
        <c:scatterStyle val="lineMarker"/>
        <c:varyColors val="0"/>
        <c:ser>
          <c:idx val="0"/>
          <c:order val="0"/>
          <c:tx>
            <c:v>Analytic</c:v>
          </c:tx>
          <c:spPr>
            <a:ln w="25400" cap="rnd">
              <a:solidFill>
                <a:schemeClr val="dk1"/>
              </a:solidFill>
              <a:round/>
            </a:ln>
            <a:effectLst/>
          </c:spPr>
          <c:marker>
            <c:symbol val="none"/>
          </c:marker>
          <c:xVal>
            <c:numRef>
              <c:f>Sheet1!$H$6:$H$306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Sheet1!$I$6:$I$306</c:f>
              <c:numCache>
                <c:formatCode>0.000000</c:formatCode>
                <c:ptCount val="301"/>
                <c:pt idx="0">
                  <c:v>0</c:v>
                </c:pt>
                <c:pt idx="1">
                  <c:v>1.1011944423338693</c:v>
                </c:pt>
                <c:pt idx="2">
                  <c:v>2.1781363006711958</c:v>
                </c:pt>
                <c:pt idx="3">
                  <c:v>3.2313597112261667</c:v>
                </c:pt>
                <c:pt idx="4">
                  <c:v>4.2613870464563597</c:v>
                </c:pt>
                <c:pt idx="5">
                  <c:v>5.2687291741464017</c:v>
                </c:pt>
                <c:pt idx="6">
                  <c:v>6.2538857107856218</c:v>
                </c:pt>
                <c:pt idx="7">
                  <c:v>7.2173452693653273</c:v>
                </c:pt>
                <c:pt idx="8">
                  <c:v>8.159585701718596</c:v>
                </c:pt>
                <c:pt idx="9">
                  <c:v>9.0810743355228745</c:v>
                </c:pt>
                <c:pt idx="10">
                  <c:v>9.982268206082777</c:v>
                </c:pt>
                <c:pt idx="11">
                  <c:v>10.863614283008154</c:v>
                </c:pt>
                <c:pt idx="12">
                  <c:v>11.725549691899872</c:v>
                </c:pt>
                <c:pt idx="13">
                  <c:v>12.568501931153147</c:v>
                </c:pt>
                <c:pt idx="14">
                  <c:v>13.392889083986047</c:v>
                </c:pt>
                <c:pt idx="15">
                  <c:v>14.199120025798328</c:v>
                </c:pt>
                <c:pt idx="16">
                  <c:v>14.987594626963384</c:v>
                </c:pt>
                <c:pt idx="17">
                  <c:v>15.758703951153949</c:v>
                </c:pt>
                <c:pt idx="18">
                  <c:v>16.512830449299912</c:v>
                </c:pt>
                <c:pt idx="19">
                  <c:v>17.250348149274366</c:v>
                </c:pt>
                <c:pt idx="20">
                  <c:v>17.97162284140213</c:v>
                </c:pt>
                <c:pt idx="21">
                  <c:v>18.677012259882552</c:v>
                </c:pt>
                <c:pt idx="22">
                  <c:v>19.366866260216742</c:v>
                </c:pt>
                <c:pt idx="23">
                  <c:v>20.041526992727128</c:v>
                </c:pt>
                <c:pt idx="24">
                  <c:v>20.70132907225549</c:v>
                </c:pt>
                <c:pt idx="25">
                  <c:v>21.346599744123509</c:v>
                </c:pt>
                <c:pt idx="26">
                  <c:v>21.977659046438294</c:v>
                </c:pt>
                <c:pt idx="27">
                  <c:v>22.594819968823231</c:v>
                </c:pt>
                <c:pt idx="28">
                  <c:v>23.198388607653051</c:v>
                </c:pt>
                <c:pt idx="29">
                  <c:v>23.788664317869944</c:v>
                </c:pt>
                <c:pt idx="30">
                  <c:v>24.365939861456123</c:v>
                </c:pt>
                <c:pt idx="31">
                  <c:v>24.930501552636457</c:v>
                </c:pt>
                <c:pt idx="32">
                  <c:v>25.482629399883141</c:v>
                </c:pt>
                <c:pt idx="33">
                  <c:v>26.022597244792909</c:v>
                </c:pt>
                <c:pt idx="34">
                  <c:v>26.55067289790561</c:v>
                </c:pt>
                <c:pt idx="35">
                  <c:v>27.067118271531513</c:v>
                </c:pt>
                <c:pt idx="36">
                  <c:v>27.572189509653303</c:v>
                </c:pt>
                <c:pt idx="37">
                  <c:v>28.066137114967045</c:v>
                </c:pt>
                <c:pt idx="38">
                  <c:v>28.549206073125273</c:v>
                </c:pt>
                <c:pt idx="39">
                  <c:v>29.021635974243743</c:v>
                </c:pt>
                <c:pt idx="40">
                  <c:v>29.483661131732134</c:v>
                </c:pt>
                <c:pt idx="41">
                  <c:v>29.935510698507631</c:v>
                </c:pt>
                <c:pt idx="42">
                  <c:v>30.377408780649048</c:v>
                </c:pt>
                <c:pt idx="43">
                  <c:v>30.809574548547822</c:v>
                </c:pt>
                <c:pt idx="44">
                  <c:v>31.232222345611049</c:v>
                </c:pt>
                <c:pt idx="45">
                  <c:v>31.645561794570465</c:v>
                </c:pt>
                <c:pt idx="46">
                  <c:v>32.049797901450056</c:v>
                </c:pt>
                <c:pt idx="47">
                  <c:v>32.445131157243921</c:v>
                </c:pt>
                <c:pt idx="48">
                  <c:v>32.831757637354769</c:v>
                </c:pt>
                <c:pt idx="49">
                  <c:v>33.209869098842489</c:v>
                </c:pt>
                <c:pt idx="50">
                  <c:v>33.579653075530743</c:v>
                </c:pt>
                <c:pt idx="51">
                  <c:v>33.941292971019138</c:v>
                </c:pt>
                <c:pt idx="52">
                  <c:v>34.29496814964677</c:v>
                </c:pt>
                <c:pt idx="53">
                  <c:v>34.64085402545247</c:v>
                </c:pt>
                <c:pt idx="54">
                  <c:v>34.979122149175801</c:v>
                </c:pt>
                <c:pt idx="55">
                  <c:v>35.309940293341874</c:v>
                </c:pt>
                <c:pt idx="56">
                  <c:v>35.633472535472364</c:v>
                </c:pt>
                <c:pt idx="57">
                  <c:v>35.949879339463862</c:v>
                </c:pt>
                <c:pt idx="58">
                  <c:v>36.259317635173915</c:v>
                </c:pt>
                <c:pt idx="59">
                  <c:v>36.561940896254349</c:v>
                </c:pt>
                <c:pt idx="60">
                  <c:v>36.857899216270319</c:v>
                </c:pt>
                <c:pt idx="61">
                  <c:v>37.147339383143013</c:v>
                </c:pt>
                <c:pt idx="62">
                  <c:v>37.430404951952738</c:v>
                </c:pt>
                <c:pt idx="63">
                  <c:v>37.707236316138676</c:v>
                </c:pt>
                <c:pt idx="64">
                  <c:v>37.977970777130508</c:v>
                </c:pt>
                <c:pt idx="65">
                  <c:v>38.242742612446499</c:v>
                </c:pt>
                <c:pt idx="66">
                  <c:v>38.501683142291746</c:v>
                </c:pt>
                <c:pt idx="67">
                  <c:v>38.754920794689788</c:v>
                </c:pt>
                <c:pt idx="68">
                  <c:v>39.002581169179635</c:v>
                </c:pt>
                <c:pt idx="69">
                  <c:v>39.244787099109978</c:v>
                </c:pt>
                <c:pt idx="70">
                  <c:v>39.481658712561526</c:v>
                </c:pt>
                <c:pt idx="71">
                  <c:v>39.713313491927487</c:v>
                </c:pt>
                <c:pt idx="72">
                  <c:v>39.939866332181893</c:v>
                </c:pt>
                <c:pt idx="73">
                  <c:v>40.16142959786464</c:v>
                </c:pt>
                <c:pt idx="74">
                  <c:v>40.378113178811482</c:v>
                </c:pt>
                <c:pt idx="75">
                  <c:v>40.590024544656636</c:v>
                </c:pt>
                <c:pt idx="76">
                  <c:v>40.797268798135086</c:v>
                </c:pt>
                <c:pt idx="77">
                  <c:v>40.999948727210807</c:v>
                </c:pt>
                <c:pt idx="78">
                  <c:v>41.198164856057112</c:v>
                </c:pt>
                <c:pt idx="79">
                  <c:v>41.392015494914084</c:v>
                </c:pt>
                <c:pt idx="80">
                  <c:v>41.581596788848024</c:v>
                </c:pt>
                <c:pt idx="81">
                  <c:v>41.767002765436949</c:v>
                </c:pt>
                <c:pt idx="82">
                  <c:v>41.948325381405965</c:v>
                </c:pt>
                <c:pt idx="83">
                  <c:v>42.12565456823549</c:v>
                </c:pt>
                <c:pt idx="84">
                  <c:v>42.299078276765016</c:v>
                </c:pt>
                <c:pt idx="85">
                  <c:v>42.468682520814504</c:v>
                </c:pt>
                <c:pt idx="86">
                  <c:v>42.634551419845124</c:v>
                </c:pt>
                <c:pt idx="87">
                  <c:v>42.796767240680367</c:v>
                </c:pt>
                <c:pt idx="88">
                  <c:v>42.955410438308377</c:v>
                </c:pt>
                <c:pt idx="89">
                  <c:v>43.110559695785533</c:v>
                </c:pt>
                <c:pt idx="90">
                  <c:v>43.262291963261376</c:v>
                </c:pt>
                <c:pt idx="91">
                  <c:v>43.41068249614387</c:v>
                </c:pt>
                <c:pt idx="92">
                  <c:v>43.555804892424263</c:v>
                </c:pt>
                <c:pt idx="93">
                  <c:v>43.697731129179815</c:v>
                </c:pt>
                <c:pt idx="94">
                  <c:v>43.836531598272636</c:v>
                </c:pt>
                <c:pt idx="95">
                  <c:v>43.97227514126228</c:v>
                </c:pt>
                <c:pt idx="96">
                  <c:v>44.105029083549482</c:v>
                </c:pt>
                <c:pt idx="97">
                  <c:v>44.234859267767781</c:v>
                </c:pt>
                <c:pt idx="98">
                  <c:v>44.361830086439909</c:v>
                </c:pt>
                <c:pt idx="99">
                  <c:v>44.486004513914843</c:v>
                </c:pt>
                <c:pt idx="100">
                  <c:v>44.607444137601462</c:v>
                </c:pt>
                <c:pt idx="101">
                  <c:v>44.726209188514432</c:v>
                </c:pt>
                <c:pt idx="102">
                  <c:v>44.842358571147209</c:v>
                </c:pt>
                <c:pt idx="103">
                  <c:v>44.955949892687286</c:v>
                </c:pt>
                <c:pt idx="104">
                  <c:v>45.067039491587813</c:v>
                </c:pt>
                <c:pt idx="105">
                  <c:v>45.175682465510128</c:v>
                </c:pt>
                <c:pt idx="106">
                  <c:v>45.281932698650813</c:v>
                </c:pt>
                <c:pt idx="107">
                  <c:v>45.385842888466875</c:v>
                </c:pt>
                <c:pt idx="108">
                  <c:v>45.487464571812382</c:v>
                </c:pt>
                <c:pt idx="109">
                  <c:v>45.586848150499478</c:v>
                </c:pt>
                <c:pt idx="110">
                  <c:v>45.684042916296384</c:v>
                </c:pt>
                <c:pt idx="111">
                  <c:v>45.779097075374906</c:v>
                </c:pt>
                <c:pt idx="112">
                  <c:v>45.872057772219463</c:v>
                </c:pt>
                <c:pt idx="113">
                  <c:v>45.962971113009608</c:v>
                </c:pt>
                <c:pt idx="114">
                  <c:v>46.051882188487511</c:v>
                </c:pt>
                <c:pt idx="115">
                  <c:v>46.138835096321841</c:v>
                </c:pt>
                <c:pt idx="116">
                  <c:v>46.223872962979151</c:v>
                </c:pt>
                <c:pt idx="117">
                  <c:v>46.30703796511343</c:v>
                </c:pt>
                <c:pt idx="118">
                  <c:v>46.388371350484775</c:v>
                </c:pt>
                <c:pt idx="119">
                  <c:v>46.467913458417165</c:v>
                </c:pt>
                <c:pt idx="120">
                  <c:v>46.545703739805838</c:v>
                </c:pt>
                <c:pt idx="121">
                  <c:v>46.621780776683842</c:v>
                </c:pt>
                <c:pt idx="122">
                  <c:v>46.696182301357865</c:v>
                </c:pt>
                <c:pt idx="123">
                  <c:v>46.768945215122443</c:v>
                </c:pt>
                <c:pt idx="124">
                  <c:v>46.840105606562112</c:v>
                </c:pt>
                <c:pt idx="125">
                  <c:v>46.909698769450429</c:v>
                </c:pt>
                <c:pt idx="126">
                  <c:v>46.977759220254804</c:v>
                </c:pt>
                <c:pt idx="127">
                  <c:v>47.0443207152558</c:v>
                </c:pt>
                <c:pt idx="128">
                  <c:v>47.10941626728944</c:v>
                </c:pt>
                <c:pt idx="129">
                  <c:v>47.173078162120667</c:v>
                </c:pt>
                <c:pt idx="130">
                  <c:v>47.235337974456371</c:v>
                </c:pt>
                <c:pt idx="131">
                  <c:v>47.296226583605574</c:v>
                </c:pt>
                <c:pt idx="132">
                  <c:v>47.35577418879484</c:v>
                </c:pt>
                <c:pt idx="133">
                  <c:v>47.414010324146346</c:v>
                </c:pt>
                <c:pt idx="134">
                  <c:v>47.470963873325992</c:v>
                </c:pt>
                <c:pt idx="135">
                  <c:v>47.526663083869096</c:v>
                </c:pt>
                <c:pt idx="136">
                  <c:v>47.581135581190345</c:v>
                </c:pt>
                <c:pt idx="137">
                  <c:v>47.634408382285393</c:v>
                </c:pt>
                <c:pt idx="138">
                  <c:v>47.686507909130576</c:v>
                </c:pt>
                <c:pt idx="139">
                  <c:v>47.737460001787547</c:v>
                </c:pt>
                <c:pt idx="140">
                  <c:v>47.787289931219341</c:v>
                </c:pt>
                <c:pt idx="141">
                  <c:v>47.836022411824096</c:v>
                </c:pt>
                <c:pt idx="142">
                  <c:v>47.883681613692779</c:v>
                </c:pt>
                <c:pt idx="143">
                  <c:v>47.930291174596981</c:v>
                </c:pt>
                <c:pt idx="144">
                  <c:v>47.97587421171265</c:v>
                </c:pt>
                <c:pt idx="145">
                  <c:v>48.020453333085577</c:v>
                </c:pt>
                <c:pt idx="146">
                  <c:v>48.064050648844521</c:v>
                </c:pt>
                <c:pt idx="147">
                  <c:v>48.106687782167164</c:v>
                </c:pt>
                <c:pt idx="148">
                  <c:v>48.148385880004767</c:v>
                </c:pt>
                <c:pt idx="149">
                  <c:v>48.189165623570482</c:v>
                </c:pt>
                <c:pt idx="150">
                  <c:v>48.229047238596706</c:v>
                </c:pt>
                <c:pt idx="151">
                  <c:v>48.268050505366567</c:v>
                </c:pt>
                <c:pt idx="152">
                  <c:v>48.306194768524435</c:v>
                </c:pt>
                <c:pt idx="153">
                  <c:v>48.343498946670366</c:v>
                </c:pt>
                <c:pt idx="154">
                  <c:v>48.379981541743312</c:v>
                </c:pt>
                <c:pt idx="155">
                  <c:v>48.415660648197523</c:v>
                </c:pt>
                <c:pt idx="156">
                  <c:v>48.450553961977029</c:v>
                </c:pt>
                <c:pt idx="157">
                  <c:v>48.484678789292374</c:v>
                </c:pt>
                <c:pt idx="158">
                  <c:v>48.518052055204016</c:v>
                </c:pt>
                <c:pt idx="159">
                  <c:v>48.550690312016769</c:v>
                </c:pt>
                <c:pt idx="160">
                  <c:v>48.582609747489322</c:v>
                </c:pt>
                <c:pt idx="161">
                  <c:v>48.61382619286298</c:v>
                </c:pt>
                <c:pt idx="162">
                  <c:v>48.644355130713542</c:v>
                </c:pt>
                <c:pt idx="163">
                  <c:v>48.674211702630267</c:v>
                </c:pt>
                <c:pt idx="164">
                  <c:v>48.70341071672577</c:v>
                </c:pt>
                <c:pt idx="165">
                  <c:v>48.73196665498039</c:v>
                </c:pt>
                <c:pt idx="166">
                  <c:v>48.759893680424987</c:v>
                </c:pt>
                <c:pt idx="167">
                  <c:v>48.787205644165361</c:v>
                </c:pt>
                <c:pt idx="168">
                  <c:v>48.81391609225215</c:v>
                </c:pt>
                <c:pt idx="169">
                  <c:v>48.840038272399219</c:v>
                </c:pt>
                <c:pt idx="170">
                  <c:v>48.865585140554295</c:v>
                </c:pt>
                <c:pt idx="171">
                  <c:v>48.890569367324751</c:v>
                </c:pt>
                <c:pt idx="172">
                  <c:v>48.915003344261891</c:v>
                </c:pt>
                <c:pt idx="173">
                  <c:v>48.938899190006879</c:v>
                </c:pt>
                <c:pt idx="174">
                  <c:v>48.962268756301285</c:v>
                </c:pt>
                <c:pt idx="175">
                  <c:v>48.985123633865236</c:v>
                </c:pt>
                <c:pt idx="176">
                  <c:v>49.007475158146107</c:v>
                </c:pt>
                <c:pt idx="177">
                  <c:v>49.029334414940664</c:v>
                </c:pt>
                <c:pt idx="178">
                  <c:v>49.050712245893301</c:v>
                </c:pt>
                <c:pt idx="179">
                  <c:v>49.071619253873259</c:v>
                </c:pt>
                <c:pt idx="180">
                  <c:v>49.09206580823335</c:v>
                </c:pt>
                <c:pt idx="181">
                  <c:v>49.112062049952918</c:v>
                </c:pt>
                <c:pt idx="182">
                  <c:v>49.1316178966675</c:v>
                </c:pt>
                <c:pt idx="183">
                  <c:v>49.150743047587738</c:v>
                </c:pt>
                <c:pt idx="184">
                  <c:v>49.169446988309929</c:v>
                </c:pt>
                <c:pt idx="185">
                  <c:v>49.187738995520668</c:v>
                </c:pt>
                <c:pt idx="186">
                  <c:v>49.205628141597813</c:v>
                </c:pt>
                <c:pt idx="187">
                  <c:v>49.223123299110192</c:v>
                </c:pt>
                <c:pt idx="188">
                  <c:v>49.240233145218163</c:v>
                </c:pt>
                <c:pt idx="189">
                  <c:v>49.256966165977268</c:v>
                </c:pt>
                <c:pt idx="190">
                  <c:v>49.27333066054711</c:v>
                </c:pt>
                <c:pt idx="191">
                  <c:v>49.289334745307499</c:v>
                </c:pt>
                <c:pt idx="192">
                  <c:v>49.304986357884047</c:v>
                </c:pt>
                <c:pt idx="193">
                  <c:v>49.320293261084927</c:v>
                </c:pt>
                <c:pt idx="194">
                  <c:v>49.33526304675113</c:v>
                </c:pt>
                <c:pt idx="195">
                  <c:v>49.349903139521771</c:v>
                </c:pt>
                <c:pt idx="196">
                  <c:v>49.364220800516513</c:v>
                </c:pt>
                <c:pt idx="197">
                  <c:v>49.378223130936966</c:v>
                </c:pt>
                <c:pt idx="198">
                  <c:v>49.391917075588644</c:v>
                </c:pt>
                <c:pt idx="199">
                  <c:v>49.405309426325445</c:v>
                </c:pt>
                <c:pt idx="200">
                  <c:v>49.418406825418216</c:v>
                </c:pt>
                <c:pt idx="201">
                  <c:v>49.431215768849199</c:v>
                </c:pt>
                <c:pt idx="202">
                  <c:v>49.443742609533807</c:v>
                </c:pt>
                <c:pt idx="203">
                  <c:v>49.455993560471576</c:v>
                </c:pt>
                <c:pt idx="204">
                  <c:v>49.467974697827621</c:v>
                </c:pt>
                <c:pt idx="205">
                  <c:v>49.479691963946287</c:v>
                </c:pt>
                <c:pt idx="206">
                  <c:v>49.491151170298366</c:v>
                </c:pt>
                <c:pt idx="207">
                  <c:v>49.502358000363479</c:v>
                </c:pt>
                <c:pt idx="208">
                  <c:v>49.513318012448906</c:v>
                </c:pt>
                <c:pt idx="209">
                  <c:v>49.524036642446411</c:v>
                </c:pt>
                <c:pt idx="210">
                  <c:v>49.534519206528266</c:v>
                </c:pt>
                <c:pt idx="211">
                  <c:v>49.544770903783949</c:v>
                </c:pt>
                <c:pt idx="212">
                  <c:v>49.554796818798785</c:v>
                </c:pt>
                <c:pt idx="213">
                  <c:v>49.56460192417574</c:v>
                </c:pt>
                <c:pt idx="214">
                  <c:v>49.574191083001757</c:v>
                </c:pt>
                <c:pt idx="215">
                  <c:v>49.583569051259651</c:v>
                </c:pt>
                <c:pt idx="216">
                  <c:v>49.592740480187025</c:v>
                </c:pt>
                <c:pt idx="217">
                  <c:v>49.60170991858314</c:v>
                </c:pt>
                <c:pt idx="218">
                  <c:v>49.610481815064993</c:v>
                </c:pt>
                <c:pt idx="219">
                  <c:v>49.619060520273763</c:v>
                </c:pt>
                <c:pt idx="220">
                  <c:v>49.627450289032566</c:v>
                </c:pt>
                <c:pt idx="221">
                  <c:v>49.635655282456774</c:v>
                </c:pt>
                <c:pt idx="222">
                  <c:v>49.643679570017817</c:v>
                </c:pt>
                <c:pt idx="223">
                  <c:v>49.651527131561544</c:v>
                </c:pt>
                <c:pt idx="224">
                  <c:v>49.65920185928212</c:v>
                </c:pt>
                <c:pt idx="225">
                  <c:v>49.666707559652437</c:v>
                </c:pt>
                <c:pt idx="226">
                  <c:v>49.674047955312098</c:v>
                </c:pt>
                <c:pt idx="227">
                  <c:v>49.681226686913647</c:v>
                </c:pt>
                <c:pt idx="228">
                  <c:v>49.68824731492834</c:v>
                </c:pt>
                <c:pt idx="229">
                  <c:v>49.695113321412016</c:v>
                </c:pt>
                <c:pt idx="230">
                  <c:v>49.701828111732077</c:v>
                </c:pt>
                <c:pt idx="231">
                  <c:v>49.708395016256489</c:v>
                </c:pt>
                <c:pt idx="232">
                  <c:v>49.714817292005591</c:v>
                </c:pt>
                <c:pt idx="233">
                  <c:v>49.721098124267456</c:v>
                </c:pt>
                <c:pt idx="234">
                  <c:v>49.727240628177725</c:v>
                </c:pt>
                <c:pt idx="235">
                  <c:v>49.733247850264625</c:v>
                </c:pt>
                <c:pt idx="236">
                  <c:v>49.739122769960005</c:v>
                </c:pt>
                <c:pt idx="237">
                  <c:v>49.744868301077034</c:v>
                </c:pt>
                <c:pt idx="238">
                  <c:v>49.750487293255382</c:v>
                </c:pt>
                <c:pt idx="239">
                  <c:v>49.755982533374556</c:v>
                </c:pt>
                <c:pt idx="240">
                  <c:v>49.761356746936166</c:v>
                </c:pt>
                <c:pt idx="241">
                  <c:v>49.766612599415652</c:v>
                </c:pt>
                <c:pt idx="242">
                  <c:v>49.771752697584333</c:v>
                </c:pt>
                <c:pt idx="243">
                  <c:v>49.776779590802285</c:v>
                </c:pt>
                <c:pt idx="244">
                  <c:v>49.781695772282774</c:v>
                </c:pt>
                <c:pt idx="245">
                  <c:v>49.786503680328771</c:v>
                </c:pt>
                <c:pt idx="246">
                  <c:v>49.791205699542388</c:v>
                </c:pt>
                <c:pt idx="247">
                  <c:v>49.795804162007485</c:v>
                </c:pt>
                <c:pt idx="248">
                  <c:v>49.800301348446389</c:v>
                </c:pt>
                <c:pt idx="249">
                  <c:v>49.80469948935103</c:v>
                </c:pt>
                <c:pt idx="250">
                  <c:v>49.80900076608927</c:v>
                </c:pt>
                <c:pt idx="251">
                  <c:v>49.813207311986716</c:v>
                </c:pt>
                <c:pt idx="252">
                  <c:v>49.817321213384893</c:v>
                </c:pt>
                <c:pt idx="253">
                  <c:v>49.821344510675949</c:v>
                </c:pt>
                <c:pt idx="254">
                  <c:v>49.825279199314672</c:v>
                </c:pt>
                <c:pt idx="255">
                  <c:v>49.829127230808169</c:v>
                </c:pt>
                <c:pt idx="256">
                  <c:v>49.832890513683765</c:v>
                </c:pt>
                <c:pt idx="257">
                  <c:v>49.836570914435626</c:v>
                </c:pt>
                <c:pt idx="258">
                  <c:v>49.840170258450414</c:v>
                </c:pt>
                <c:pt idx="259">
                  <c:v>49.843690330912693</c:v>
                </c:pt>
                <c:pt idx="260">
                  <c:v>49.847132877690328</c:v>
                </c:pt>
                <c:pt idx="261">
                  <c:v>49.850499606200387</c:v>
                </c:pt>
                <c:pt idx="262">
                  <c:v>49.853792186255973</c:v>
                </c:pt>
                <c:pt idx="263">
                  <c:v>49.857012250894378</c:v>
                </c:pt>
                <c:pt idx="264">
                  <c:v>49.86016139718712</c:v>
                </c:pt>
                <c:pt idx="265">
                  <c:v>49.863241187031939</c:v>
                </c:pt>
                <c:pt idx="266">
                  <c:v>49.866253147927559</c:v>
                </c:pt>
                <c:pt idx="267">
                  <c:v>49.869198773731192</c:v>
                </c:pt>
                <c:pt idx="268">
                  <c:v>49.872079525399549</c:v>
                </c:pt>
                <c:pt idx="269">
                  <c:v>49.874896831713365</c:v>
                </c:pt>
                <c:pt idx="270">
                  <c:v>49.877652089986071</c:v>
                </c:pt>
                <c:pt idx="271">
                  <c:v>49.880346666756843</c:v>
                </c:pt>
                <c:pt idx="272">
                  <c:v>49.88298189846833</c:v>
                </c:pt>
                <c:pt idx="273">
                  <c:v>49.885559092129505</c:v>
                </c:pt>
                <c:pt idx="274">
                  <c:v>49.88807952596396</c:v>
                </c:pt>
                <c:pt idx="275">
                  <c:v>49.890544450043798</c:v>
                </c:pt>
                <c:pt idx="276">
                  <c:v>49.892955086909687</c:v>
                </c:pt>
                <c:pt idx="277">
                  <c:v>49.895312632177188</c:v>
                </c:pt>
                <c:pt idx="278">
                  <c:v>49.897618255129771</c:v>
                </c:pt>
                <c:pt idx="279">
                  <c:v>49.899873099298716</c:v>
                </c:pt>
                <c:pt idx="280">
                  <c:v>49.902078283030328</c:v>
                </c:pt>
                <c:pt idx="281">
                  <c:v>49.904234900040535</c:v>
                </c:pt>
                <c:pt idx="282">
                  <c:v>49.906344019957437</c:v>
                </c:pt>
                <c:pt idx="283">
                  <c:v>49.90840668885172</c:v>
                </c:pt>
                <c:pt idx="284">
                  <c:v>49.910423929755552</c:v>
                </c:pt>
                <c:pt idx="285">
                  <c:v>49.912396743169936</c:v>
                </c:pt>
                <c:pt idx="286">
                  <c:v>49.914326107560974</c:v>
                </c:pt>
                <c:pt idx="287">
                  <c:v>49.916212979845113</c:v>
                </c:pt>
                <c:pt idx="288">
                  <c:v>49.918058295863794</c:v>
                </c:pt>
                <c:pt idx="289">
                  <c:v>49.919862970847596</c:v>
                </c:pt>
                <c:pt idx="290">
                  <c:v>49.921627899870153</c:v>
                </c:pt>
                <c:pt idx="291">
                  <c:v>49.92335395829209</c:v>
                </c:pt>
                <c:pt idx="292">
                  <c:v>49.925042002195198</c:v>
                </c:pt>
                <c:pt idx="293">
                  <c:v>49.926692868807024</c:v>
                </c:pt>
                <c:pt idx="294">
                  <c:v>49.928307376916095</c:v>
                </c:pt>
                <c:pt idx="295">
                  <c:v>49.929886327278012</c:v>
                </c:pt>
                <c:pt idx="296">
                  <c:v>49.93143050301267</c:v>
                </c:pt>
                <c:pt idx="297">
                  <c:v>49.932940669992597</c:v>
                </c:pt>
                <c:pt idx="298">
                  <c:v>49.93441757722281</c:v>
                </c:pt>
                <c:pt idx="299">
                  <c:v>49.935861957212353</c:v>
                </c:pt>
                <c:pt idx="300">
                  <c:v>49.937274526337553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61-4F5B-BF24-3020D2088364}"/>
            </c:ext>
          </c:extLst>
        </c:ser>
        <c:ser>
          <c:idx val="1"/>
          <c:order val="1"/>
          <c:tx>
            <c:v>PID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Sheet1!$M$6:$M$306</c:f>
              <c:numCache>
                <c:formatCode>0.00</c:formatCode>
                <c:ptCount val="3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</c:numCache>
            </c:numRef>
          </c:xVal>
          <c:yVal>
            <c:numRef>
              <c:f>Sheet1!$N$6:$N$306</c:f>
              <c:numCache>
                <c:formatCode>General</c:formatCode>
                <c:ptCount val="301"/>
                <c:pt idx="0">
                  <c:v>0</c:v>
                </c:pt>
                <c:pt idx="1">
                  <c:v>18.447978576440871</c:v>
                </c:pt>
                <c:pt idx="2">
                  <c:v>23.022450467784473</c:v>
                </c:pt>
                <c:pt idx="3">
                  <c:v>31.033991828097765</c:v>
                </c:pt>
                <c:pt idx="4">
                  <c:v>34.727797908806266</c:v>
                </c:pt>
                <c:pt idx="5">
                  <c:v>38.632710023912907</c:v>
                </c:pt>
                <c:pt idx="6">
                  <c:v>40.981159792760181</c:v>
                </c:pt>
                <c:pt idx="7">
                  <c:v>43.022706451151102</c:v>
                </c:pt>
                <c:pt idx="8">
                  <c:v>44.408284086130202</c:v>
                </c:pt>
                <c:pt idx="9">
                  <c:v>45.516996059054861</c:v>
                </c:pt>
                <c:pt idx="10">
                  <c:v>46.312685140185337</c:v>
                </c:pt>
                <c:pt idx="11">
                  <c:v>46.9276424734675</c:v>
                </c:pt>
                <c:pt idx="12">
                  <c:v>47.381163228313582</c:v>
                </c:pt>
                <c:pt idx="13">
                  <c:v>47.727315910333417</c:v>
                </c:pt>
                <c:pt idx="14">
                  <c:v>47.986681759956795</c:v>
                </c:pt>
                <c:pt idx="15">
                  <c:v>48.184503650574349</c:v>
                </c:pt>
                <c:pt idx="16">
                  <c:v>48.334702382366928</c:v>
                </c:pt>
                <c:pt idx="17">
                  <c:v>48.450131304876933</c:v>
                </c:pt>
                <c:pt idx="18">
                  <c:v>48.539161001257916</c:v>
                </c:pt>
                <c:pt idx="19">
                  <c:v>48.608654038777509</c:v>
                </c:pt>
                <c:pt idx="20">
                  <c:v>48.663429284525556</c:v>
                </c:pt>
                <c:pt idx="21">
                  <c:v>48.707237557393256</c:v>
                </c:pt>
                <c:pt idx="22">
                  <c:v>48.742803694675622</c:v>
                </c:pt>
                <c:pt idx="23">
                  <c:v>48.772200479295883</c:v>
                </c:pt>
                <c:pt idx="24">
                  <c:v>48.796956928113083</c:v>
                </c:pt>
                <c:pt idx="25">
                  <c:v>48.818224430705591</c:v>
                </c:pt>
                <c:pt idx="26">
                  <c:v>48.83685824504127</c:v>
                </c:pt>
                <c:pt idx="27">
                  <c:v>48.853499582464444</c:v>
                </c:pt>
                <c:pt idx="28">
                  <c:v>48.868626302347288</c:v>
                </c:pt>
                <c:pt idx="29">
                  <c:v>48.882596051481592</c:v>
                </c:pt>
                <c:pt idx="30">
                  <c:v>48.895675836767843</c:v>
                </c:pt>
                <c:pt idx="31">
                  <c:v>48.90806542273782</c:v>
                </c:pt>
                <c:pt idx="32">
                  <c:v>48.919914144921187</c:v>
                </c:pt>
                <c:pt idx="33">
                  <c:v>48.93133379169263</c:v>
                </c:pt>
                <c:pt idx="34">
                  <c:v>48.94240805922891</c:v>
                </c:pt>
                <c:pt idx="35">
                  <c:v>48.953199692882016</c:v>
                </c:pt>
                <c:pt idx="36">
                  <c:v>48.963755778729137</c:v>
                </c:pt>
                <c:pt idx="37">
                  <c:v>48.974111714959768</c:v>
                </c:pt>
                <c:pt idx="38">
                  <c:v>48.984294167075355</c:v>
                </c:pt>
                <c:pt idx="39">
                  <c:v>48.994323279531237</c:v>
                </c:pt>
                <c:pt idx="40">
                  <c:v>49.004214324601591</c:v>
                </c:pt>
                <c:pt idx="41">
                  <c:v>49.013978934819725</c:v>
                </c:pt>
                <c:pt idx="42">
                  <c:v>49.023626022597917</c:v>
                </c:pt>
                <c:pt idx="43">
                  <c:v>49.033162467215462</c:v>
                </c:pt>
                <c:pt idx="44">
                  <c:v>49.042593627637217</c:v>
                </c:pt>
                <c:pt idx="45">
                  <c:v>49.051923725519195</c:v>
                </c:pt>
                <c:pt idx="46">
                  <c:v>49.061156131169604</c:v>
                </c:pt>
                <c:pt idx="47">
                  <c:v>49.070293577107584</c:v>
                </c:pt>
                <c:pt idx="48">
                  <c:v>49.079338317532162</c:v>
                </c:pt>
                <c:pt idx="49">
                  <c:v>49.08829224741816</c:v>
                </c:pt>
                <c:pt idx="50">
                  <c:v>49.097156991459372</c:v>
                </c:pt>
                <c:pt idx="51">
                  <c:v>49.105933970500985</c:v>
                </c:pt>
                <c:pt idx="52">
                  <c:v>49.114624451161916</c:v>
                </c:pt>
                <c:pt idx="53">
                  <c:v>49.123229582906241</c:v>
                </c:pt>
                <c:pt idx="54">
                  <c:v>49.131750425742581</c:v>
                </c:pt>
                <c:pt idx="55">
                  <c:v>49.14018797092573</c:v>
                </c:pt>
                <c:pt idx="56">
                  <c:v>49.148543156432979</c:v>
                </c:pt>
                <c:pt idx="57">
                  <c:v>49.156816878538663</c:v>
                </c:pt>
                <c:pt idx="58">
                  <c:v>49.165010000475235</c:v>
                </c:pt>
                <c:pt idx="59">
                  <c:v>49.17312335891868</c:v>
                </c:pt>
                <c:pt idx="60">
                  <c:v>49.181157768849395</c:v>
                </c:pt>
                <c:pt idx="61">
                  <c:v>49.189114027199658</c:v>
                </c:pt>
                <c:pt idx="62">
                  <c:v>49.196992915595203</c:v>
                </c:pt>
                <c:pt idx="63">
                  <c:v>49.204795202419916</c:v>
                </c:pt>
                <c:pt idx="64">
                  <c:v>49.212521644375215</c:v>
                </c:pt>
                <c:pt idx="65">
                  <c:v>49.220172987661734</c:v>
                </c:pt>
                <c:pt idx="66">
                  <c:v>49.227749968879003</c:v>
                </c:pt>
                <c:pt idx="67">
                  <c:v>49.235253315714289</c:v>
                </c:pt>
                <c:pt idx="68">
                  <c:v>49.242683747473855</c:v>
                </c:pt>
                <c:pt idx="69">
                  <c:v>49.250041975496423</c:v>
                </c:pt>
                <c:pt idx="70">
                  <c:v>49.257328703478535</c:v>
                </c:pt>
                <c:pt idx="71">
                  <c:v>49.264544627733876</c:v>
                </c:pt>
                <c:pt idx="72">
                  <c:v>49.271690437403272</c:v>
                </c:pt>
                <c:pt idx="73">
                  <c:v>49.278766814627545</c:v>
                </c:pt>
                <c:pt idx="74">
                  <c:v>49.285774434692613</c:v>
                </c:pt>
                <c:pt idx="75">
                  <c:v>49.29271396615362</c:v>
                </c:pt>
                <c:pt idx="76">
                  <c:v>49.299586070943306</c:v>
                </c:pt>
                <c:pt idx="77">
                  <c:v>49.3063914044684</c:v>
                </c:pt>
                <c:pt idx="78">
                  <c:v>49.313130615697027</c:v>
                </c:pt>
                <c:pt idx="79">
                  <c:v>49.319804347239099</c:v>
                </c:pt>
                <c:pt idx="80">
                  <c:v>49.326413235421484</c:v>
                </c:pt>
                <c:pt idx="81">
                  <c:v>49.332957910359013</c:v>
                </c:pt>
                <c:pt idx="82">
                  <c:v>49.339438996022267</c:v>
                </c:pt>
                <c:pt idx="83">
                  <c:v>49.345857110302866</c:v>
                </c:pt>
                <c:pt idx="84">
                  <c:v>49.352212865076652</c:v>
                </c:pt>
                <c:pt idx="85">
                  <c:v>49.358506866265245</c:v>
                </c:pt>
                <c:pt idx="86">
                  <c:v>49.364739713896242</c:v>
                </c:pt>
                <c:pt idx="87">
                  <c:v>49.37091200216215</c:v>
                </c:pt>
                <c:pt idx="88">
                  <c:v>49.37702431947843</c:v>
                </c:pt>
                <c:pt idx="89">
                  <c:v>49.383077248540566</c:v>
                </c:pt>
                <c:pt idx="90">
                  <c:v>49.389071366380357</c:v>
                </c:pt>
                <c:pt idx="91">
                  <c:v>49.395007244421478</c:v>
                </c:pt>
                <c:pt idx="92">
                  <c:v>49.400885448534403</c:v>
                </c:pt>
                <c:pt idx="93">
                  <c:v>49.406706539090621</c:v>
                </c:pt>
                <c:pt idx="94">
                  <c:v>49.412471071016306</c:v>
                </c:pt>
                <c:pt idx="95">
                  <c:v>49.418179593845402</c:v>
                </c:pt>
                <c:pt idx="96">
                  <c:v>49.423832651772109</c:v>
                </c:pt>
                <c:pt idx="97">
                  <c:v>49.429430783702898</c:v>
                </c:pt>
                <c:pt idx="98">
                  <c:v>49.434974523307915</c:v>
                </c:pt>
                <c:pt idx="99">
                  <c:v>49.440464399071949</c:v>
                </c:pt>
                <c:pt idx="100">
                  <c:v>49.445900934344827</c:v>
                </c:pt>
                <c:pt idx="101">
                  <c:v>49.45128464739134</c:v>
                </c:pt>
                <c:pt idx="102">
                  <c:v>49.456616051440676</c:v>
                </c:pt>
                <c:pt idx="103">
                  <c:v>49.461895654735358</c:v>
                </c:pt>
                <c:pt idx="104">
                  <c:v>49.467123960579713</c:v>
                </c:pt>
                <c:pt idx="105">
                  <c:v>49.472301467387851</c:v>
                </c:pt>
                <c:pt idx="106">
                  <c:v>49.477428668731207</c:v>
                </c:pt>
                <c:pt idx="107">
                  <c:v>49.482506053385571</c:v>
                </c:pt>
                <c:pt idx="108">
                  <c:v>49.487534105377705</c:v>
                </c:pt>
                <c:pt idx="109">
                  <c:v>49.492513304031476</c:v>
                </c:pt>
                <c:pt idx="110">
                  <c:v>49.497444124013583</c:v>
                </c:pt>
                <c:pt idx="111">
                  <c:v>49.502327035378748</c:v>
                </c:pt>
                <c:pt idx="112">
                  <c:v>49.507162503614602</c:v>
                </c:pt>
                <c:pt idx="113">
                  <c:v>49.511950989685992</c:v>
                </c:pt>
                <c:pt idx="114">
                  <c:v>49.516692950078976</c:v>
                </c:pt>
                <c:pt idx="115">
                  <c:v>49.521388836844316</c:v>
                </c:pt>
                <c:pt idx="116">
                  <c:v>49.52603909764057</c:v>
                </c:pt>
                <c:pt idx="117">
                  <c:v>49.530644175776786</c:v>
                </c:pt>
                <c:pt idx="118">
                  <c:v>49.535204510254744</c:v>
                </c:pt>
                <c:pt idx="119">
                  <c:v>49.539720535810815</c:v>
                </c:pt>
                <c:pt idx="120">
                  <c:v>49.544192682957402</c:v>
                </c:pt>
                <c:pt idx="121">
                  <c:v>49.548621378023988</c:v>
                </c:pt>
                <c:pt idx="122">
                  <c:v>49.553007043197766</c:v>
                </c:pt>
                <c:pt idx="123">
                  <c:v>49.557350096563894</c:v>
                </c:pt>
                <c:pt idx="124">
                  <c:v>49.561650952145349</c:v>
                </c:pt>
                <c:pt idx="125">
                  <c:v>49.565910019942393</c:v>
                </c:pt>
                <c:pt idx="126">
                  <c:v>49.570127705971672</c:v>
                </c:pt>
                <c:pt idx="127">
                  <c:v>49.574304412304897</c:v>
                </c:pt>
                <c:pt idx="128">
                  <c:v>49.578440537107198</c:v>
                </c:pt>
                <c:pt idx="129">
                  <c:v>49.582536474675067</c:v>
                </c:pt>
                <c:pt idx="130">
                  <c:v>49.58659261547394</c:v>
                </c:pt>
                <c:pt idx="131">
                  <c:v>49.590609346175455</c:v>
                </c:pt>
                <c:pt idx="132">
                  <c:v>49.594587049694255</c:v>
                </c:pt>
                <c:pt idx="133">
                  <c:v>49.598526105224551</c:v>
                </c:pt>
                <c:pt idx="134">
                  <c:v>49.602426888276234</c:v>
                </c:pt>
                <c:pt idx="135">
                  <c:v>49.606289770710681</c:v>
                </c:pt>
                <c:pt idx="136">
                  <c:v>49.610115120776207</c:v>
                </c:pt>
                <c:pt idx="137">
                  <c:v>49.613903303143168</c:v>
                </c:pt>
                <c:pt idx="138">
                  <c:v>49.617654678938727</c:v>
                </c:pt>
                <c:pt idx="139">
                  <c:v>49.621369605781283</c:v>
                </c:pt>
                <c:pt idx="140">
                  <c:v>49.625048437814549</c:v>
                </c:pt>
                <c:pt idx="141">
                  <c:v>49.628691525741331</c:v>
                </c:pt>
                <c:pt idx="142">
                  <c:v>49.63229921685695</c:v>
                </c:pt>
                <c:pt idx="143">
                  <c:v>49.635871855082343</c:v>
                </c:pt>
                <c:pt idx="144">
                  <c:v>49.639409780996878</c:v>
                </c:pt>
                <c:pt idx="145">
                  <c:v>49.64291333187078</c:v>
                </c:pt>
                <c:pt idx="146">
                  <c:v>49.64638284169731</c:v>
                </c:pt>
                <c:pt idx="147">
                  <c:v>49.649818641224606</c:v>
                </c:pt>
                <c:pt idx="148">
                  <c:v>49.653221057987196</c:v>
                </c:pt>
                <c:pt idx="149">
                  <c:v>49.656590416337231</c:v>
                </c:pt>
                <c:pt idx="150">
                  <c:v>49.65992703747542</c:v>
                </c:pt>
                <c:pt idx="151">
                  <c:v>49.663231239481611</c:v>
                </c:pt>
                <c:pt idx="152">
                  <c:v>49.666503337345162</c:v>
                </c:pt>
                <c:pt idx="153">
                  <c:v>49.669743642994931</c:v>
                </c:pt>
                <c:pt idx="154">
                  <c:v>49.67295246532904</c:v>
                </c:pt>
                <c:pt idx="155">
                  <c:v>49.676130110244287</c:v>
                </c:pt>
                <c:pt idx="156">
                  <c:v>49.679276880665356</c:v>
                </c:pt>
                <c:pt idx="157">
                  <c:v>49.682393076573639</c:v>
                </c:pt>
                <c:pt idx="158">
                  <c:v>49.685478995035886</c:v>
                </c:pt>
                <c:pt idx="159">
                  <c:v>49.688534930232493</c:v>
                </c:pt>
                <c:pt idx="160">
                  <c:v>49.691561173485539</c:v>
                </c:pt>
                <c:pt idx="161">
                  <c:v>49.694558013286596</c:v>
                </c:pt>
                <c:pt idx="162">
                  <c:v>49.697525735324191</c:v>
                </c:pt>
                <c:pt idx="163">
                  <c:v>49.700464622511056</c:v>
                </c:pt>
                <c:pt idx="164">
                  <c:v>49.703374955011114</c:v>
                </c:pt>
                <c:pt idx="165">
                  <c:v>49.70625701026615</c:v>
                </c:pt>
                <c:pt idx="166">
                  <c:v>49.709111063022291</c:v>
                </c:pt>
                <c:pt idx="167">
                  <c:v>49.711937385356201</c:v>
                </c:pt>
                <c:pt idx="168">
                  <c:v>49.71473624670098</c:v>
                </c:pt>
                <c:pt idx="169">
                  <c:v>49.717507913871891</c:v>
                </c:pt>
                <c:pt idx="170">
                  <c:v>49.720252651091776</c:v>
                </c:pt>
                <c:pt idx="171">
                  <c:v>49.722970720016242</c:v>
                </c:pt>
                <c:pt idx="172">
                  <c:v>49.725662379758617</c:v>
                </c:pt>
                <c:pt idx="173">
                  <c:v>49.728327886914627</c:v>
                </c:pt>
                <c:pt idx="174">
                  <c:v>49.730967495586896</c:v>
                </c:pt>
                <c:pt idx="175">
                  <c:v>49.73358145740913</c:v>
                </c:pt>
                <c:pt idx="176">
                  <c:v>49.736170021570132</c:v>
                </c:pt>
                <c:pt idx="177">
                  <c:v>49.738733434837535</c:v>
                </c:pt>
                <c:pt idx="178">
                  <c:v>49.74127194158136</c:v>
                </c:pt>
                <c:pt idx="179">
                  <c:v>49.743785783797271</c:v>
                </c:pt>
                <c:pt idx="180">
                  <c:v>49.746275201129684</c:v>
                </c:pt>
                <c:pt idx="181">
                  <c:v>49.748740430894564</c:v>
                </c:pt>
                <c:pt idx="182">
                  <c:v>49.751181708102109</c:v>
                </c:pt>
                <c:pt idx="183">
                  <c:v>49.753599265479103</c:v>
                </c:pt>
                <c:pt idx="184">
                  <c:v>49.755993333491119</c:v>
                </c:pt>
                <c:pt idx="185">
                  <c:v>49.758364140364499</c:v>
                </c:pt>
                <c:pt idx="186">
                  <c:v>49.760711912108093</c:v>
                </c:pt>
                <c:pt idx="187">
                  <c:v>49.763036872534819</c:v>
                </c:pt>
                <c:pt idx="188">
                  <c:v>49.765339243283002</c:v>
                </c:pt>
                <c:pt idx="189">
                  <c:v>49.76761924383748</c:v>
                </c:pt>
                <c:pt idx="190">
                  <c:v>49.769877091550548</c:v>
                </c:pt>
                <c:pt idx="191">
                  <c:v>49.772113001662674</c:v>
                </c:pt>
                <c:pt idx="192">
                  <c:v>49.774327187323017</c:v>
                </c:pt>
                <c:pt idx="193">
                  <c:v>49.776519859609735</c:v>
                </c:pt>
                <c:pt idx="194">
                  <c:v>49.778691227550134</c:v>
                </c:pt>
                <c:pt idx="195">
                  <c:v>49.78084149814056</c:v>
                </c:pt>
                <c:pt idx="196">
                  <c:v>49.782970876366171</c:v>
                </c:pt>
                <c:pt idx="197">
                  <c:v>49.785079565220435</c:v>
                </c:pt>
                <c:pt idx="198">
                  <c:v>49.787167765724526</c:v>
                </c:pt>
                <c:pt idx="199">
                  <c:v>49.789235676946447</c:v>
                </c:pt>
                <c:pt idx="200">
                  <c:v>49.791283496020029</c:v>
                </c:pt>
                <c:pt idx="201">
                  <c:v>49.793311418163725</c:v>
                </c:pt>
                <c:pt idx="202">
                  <c:v>49.795319636699212</c:v>
                </c:pt>
                <c:pt idx="203">
                  <c:v>49.79730834306983</c:v>
                </c:pt>
                <c:pt idx="204">
                  <c:v>49.799277726858811</c:v>
                </c:pt>
                <c:pt idx="205">
                  <c:v>49.801227975807386</c:v>
                </c:pt>
                <c:pt idx="206">
                  <c:v>49.803159275832641</c:v>
                </c:pt>
                <c:pt idx="207">
                  <c:v>49.805071811045281</c:v>
                </c:pt>
                <c:pt idx="208">
                  <c:v>49.806965763767145</c:v>
                </c:pt>
                <c:pt idx="209">
                  <c:v>49.80884131454863</c:v>
                </c:pt>
                <c:pt idx="210">
                  <c:v>49.810698642185855</c:v>
                </c:pt>
                <c:pt idx="211">
                  <c:v>49.812537923737736</c:v>
                </c:pt>
                <c:pt idx="212">
                  <c:v>49.81435933454285</c:v>
                </c:pt>
                <c:pt idx="213">
                  <c:v>49.816163048236177</c:v>
                </c:pt>
                <c:pt idx="214">
                  <c:v>49.817949236765607</c:v>
                </c:pt>
                <c:pt idx="215">
                  <c:v>49.819718070408371</c:v>
                </c:pt>
                <c:pt idx="216">
                  <c:v>49.821469717787259</c:v>
                </c:pt>
                <c:pt idx="217">
                  <c:v>49.823204345886694</c:v>
                </c:pt>
                <c:pt idx="218">
                  <c:v>49.824922120068656</c:v>
                </c:pt>
                <c:pt idx="219">
                  <c:v>49.826623204088435</c:v>
                </c:pt>
                <c:pt idx="220">
                  <c:v>49.828307760110249</c:v>
                </c:pt>
                <c:pt idx="221">
                  <c:v>49.829975948722719</c:v>
                </c:pt>
                <c:pt idx="222">
                  <c:v>49.831627928954141</c:v>
                </c:pt>
                <c:pt idx="223">
                  <c:v>49.833263858287673</c:v>
                </c:pt>
                <c:pt idx="224">
                  <c:v>49.834883892676359</c:v>
                </c:pt>
                <c:pt idx="225">
                  <c:v>49.836488186557951</c:v>
                </c:pt>
                <c:pt idx="226">
                  <c:v>49.83807689286968</c:v>
                </c:pt>
                <c:pt idx="227">
                  <c:v>49.839650163062807</c:v>
                </c:pt>
                <c:pt idx="228">
                  <c:v>49.841208147117072</c:v>
                </c:pt>
                <c:pt idx="229">
                  <c:v>49.842750993554993</c:v>
                </c:pt>
                <c:pt idx="230">
                  <c:v>49.844278849456003</c:v>
                </c:pt>
                <c:pt idx="231">
                  <c:v>49.845791860470506</c:v>
                </c:pt>
                <c:pt idx="232">
                  <c:v>49.847290170833737</c:v>
                </c:pt>
                <c:pt idx="233">
                  <c:v>49.848773923379511</c:v>
                </c:pt>
                <c:pt idx="234">
                  <c:v>49.850243259553871</c:v>
                </c:pt>
                <c:pt idx="235">
                  <c:v>49.851698319428522</c:v>
                </c:pt>
                <c:pt idx="236">
                  <c:v>49.853139241714224</c:v>
                </c:pt>
                <c:pt idx="237">
                  <c:v>49.854566163773995</c:v>
                </c:pt>
                <c:pt idx="238">
                  <c:v>49.855979221636225</c:v>
                </c:pt>
                <c:pt idx="239">
                  <c:v>49.85737855000761</c:v>
                </c:pt>
                <c:pt idx="240">
                  <c:v>49.858764282286039</c:v>
                </c:pt>
                <c:pt idx="241">
                  <c:v>49.860136550573266</c:v>
                </c:pt>
                <c:pt idx="242">
                  <c:v>49.861495485687541</c:v>
                </c:pt>
                <c:pt idx="243">
                  <c:v>49.86284121717604</c:v>
                </c:pt>
                <c:pt idx="244">
                  <c:v>49.864173873327267</c:v>
                </c:pt>
                <c:pt idx="245">
                  <c:v>49.86549358118323</c:v>
                </c:pt>
                <c:pt idx="246">
                  <c:v>49.866800466551602</c:v>
                </c:pt>
                <c:pt idx="247">
                  <c:v>49.868094654017654</c:v>
                </c:pt>
                <c:pt idx="248">
                  <c:v>49.869376266956209</c:v>
                </c:pt>
                <c:pt idx="249">
                  <c:v>49.870645427543323</c:v>
                </c:pt>
                <c:pt idx="250">
                  <c:v>49.871902256767996</c:v>
                </c:pt>
                <c:pt idx="251">
                  <c:v>49.873146874443663</c:v>
                </c:pt>
                <c:pt idx="252">
                  <c:v>49.874379399219656</c:v>
                </c:pt>
                <c:pt idx="253">
                  <c:v>49.875599948592459</c:v>
                </c:pt>
                <c:pt idx="254">
                  <c:v>49.87680863891697</c:v>
                </c:pt>
                <c:pt idx="255">
                  <c:v>49.878005585417554</c:v>
                </c:pt>
                <c:pt idx="256">
                  <c:v>49.879190902199028</c:v>
                </c:pt>
                <c:pt idx="257">
                  <c:v>49.880364702257573</c:v>
                </c:pt>
                <c:pt idx="258">
                  <c:v>49.881527097491457</c:v>
                </c:pt>
                <c:pt idx="259">
                  <c:v>49.882678198711744</c:v>
                </c:pt>
                <c:pt idx="260">
                  <c:v>49.883818115652829</c:v>
                </c:pt>
                <c:pt idx="261">
                  <c:v>49.884946956982915</c:v>
                </c:pt>
                <c:pt idx="262">
                  <c:v>49.886064830314375</c:v>
                </c:pt>
                <c:pt idx="263">
                  <c:v>49.887171842213988</c:v>
                </c:pt>
                <c:pt idx="264">
                  <c:v>49.888268098213125</c:v>
                </c:pt>
                <c:pt idx="265">
                  <c:v>49.889353702817793</c:v>
                </c:pt>
                <c:pt idx="266">
                  <c:v>49.890428759518606</c:v>
                </c:pt>
                <c:pt idx="267">
                  <c:v>49.891493370800646</c:v>
                </c:pt>
                <c:pt idx="268">
                  <c:v>49.892547638153225</c:v>
                </c:pt>
                <c:pt idx="269">
                  <c:v>49.893591662079587</c:v>
                </c:pt>
                <c:pt idx="270">
                  <c:v>49.894625542106454</c:v>
                </c:pt>
                <c:pt idx="271">
                  <c:v>49.895649376793543</c:v>
                </c:pt>
                <c:pt idx="272">
                  <c:v>49.896663263742937</c:v>
                </c:pt>
                <c:pt idx="273">
                  <c:v>49.897667299608415</c:v>
                </c:pt>
                <c:pt idx="274">
                  <c:v>49.898661580104644</c:v>
                </c:pt>
                <c:pt idx="275">
                  <c:v>49.899646200016313</c:v>
                </c:pt>
                <c:pt idx="276">
                  <c:v>49.900621253207177</c:v>
                </c:pt>
                <c:pt idx="277">
                  <c:v>49.901586832628979</c:v>
                </c:pt>
                <c:pt idx="278">
                  <c:v>49.902543030330349</c:v>
                </c:pt>
                <c:pt idx="279">
                  <c:v>49.903489937465537</c:v>
                </c:pt>
                <c:pt idx="280">
                  <c:v>49.904427644303148</c:v>
                </c:pt>
                <c:pt idx="281">
                  <c:v>49.905356240234696</c:v>
                </c:pt>
                <c:pt idx="282">
                  <c:v>49.906275813783175</c:v>
                </c:pt>
                <c:pt idx="283">
                  <c:v>49.907186452611462</c:v>
                </c:pt>
                <c:pt idx="284">
                  <c:v>49.908088243530699</c:v>
                </c:pt>
                <c:pt idx="285">
                  <c:v>49.908981272508555</c:v>
                </c:pt>
                <c:pt idx="286">
                  <c:v>49.909865624677408</c:v>
                </c:pt>
                <c:pt idx="287">
                  <c:v>49.910741384342501</c:v>
                </c:pt>
                <c:pt idx="288">
                  <c:v>49.911608634989939</c:v>
                </c:pt>
                <c:pt idx="289">
                  <c:v>49.912467459294668</c:v>
                </c:pt>
                <c:pt idx="290">
                  <c:v>49.913317939128341</c:v>
                </c:pt>
                <c:pt idx="291">
                  <c:v>49.914160155567153</c:v>
                </c:pt>
                <c:pt idx="292">
                  <c:v>49.914994188899534</c:v>
                </c:pt>
                <c:pt idx="293">
                  <c:v>49.915820118633818</c:v>
                </c:pt>
                <c:pt idx="294">
                  <c:v>49.91663802350584</c:v>
                </c:pt>
                <c:pt idx="295">
                  <c:v>49.917447981486404</c:v>
                </c:pt>
                <c:pt idx="296">
                  <c:v>49.918250069788762</c:v>
                </c:pt>
                <c:pt idx="297">
                  <c:v>49.919044364875923</c:v>
                </c:pt>
                <c:pt idx="298">
                  <c:v>49.919830942467989</c:v>
                </c:pt>
                <c:pt idx="299">
                  <c:v>49.920609877549346</c:v>
                </c:pt>
                <c:pt idx="300">
                  <c:v>49.921381244375823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61-4F5B-BF24-3020D2088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013743"/>
        <c:axId val="823990223"/>
      </c:scatterChart>
      <c:valAx>
        <c:axId val="824013743"/>
        <c:scaling>
          <c:orientation val="minMax"/>
          <c:max val="3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</a:t>
                </a:r>
                <a:r>
                  <a:rPr lang="en-US" sz="16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[s]</a:t>
                </a:r>
                <a:endParaRPr lang="en-US" sz="1600">
                  <a:solidFill>
                    <a:sysClr val="windowText" lastClr="000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990223"/>
        <c:crosses val="autoZero"/>
        <c:crossBetween val="midCat"/>
      </c:valAx>
      <c:valAx>
        <c:axId val="82399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Rolling Rate, </a:t>
                </a:r>
                <a:r>
                  <a:rPr lang="en-US" sz="1600" i="1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</a:t>
                </a:r>
                <a:r>
                  <a:rPr lang="en-US" sz="16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[deg/s]</a:t>
                </a:r>
              </a:p>
            </c:rich>
          </c:tx>
          <c:layout>
            <c:manualLayout>
              <c:xMode val="edge"/>
              <c:yMode val="edge"/>
              <c:x val="2.4180634883555031E-2"/>
              <c:y val="0.23411963290992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dk1"/>
            </a:solidFill>
            <a:prstDash val="solid"/>
            <a:miter lim="800000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4013743"/>
        <c:crosses val="autoZero"/>
        <c:crossBetween val="midCat"/>
        <c:majorUnit val="10"/>
      </c:valAx>
      <c:spPr>
        <a:noFill/>
        <a:ln w="19050">
          <a:solidFill>
            <a:schemeClr val="tx1"/>
          </a:solidFill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0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52176511381282031"/>
          <c:y val="0.54685365477958658"/>
          <c:w val="0.14761263461002883"/>
          <c:h val="0.11619004767261235"/>
        </c:manualLayout>
      </c:layout>
      <c:overlay val="0"/>
      <c:spPr>
        <a:solidFill>
          <a:schemeClr val="bg1"/>
        </a:solidFill>
        <a:ln w="19050">
          <a:solidFill>
            <a:schemeClr val="dk1"/>
          </a:solidFill>
        </a:ln>
        <a:effectLst/>
      </c:spPr>
      <c:txPr>
        <a:bodyPr rot="0" spcFirstLastPara="1" vertOverflow="ellipsis" vert="horz" wrap="square" anchor="ctr" anchorCtr="0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19050</xdr:colOff>
      <xdr:row>4</xdr:row>
      <xdr:rowOff>157163</xdr:rowOff>
    </xdr:from>
    <xdr:to>
      <xdr:col>29</xdr:col>
      <xdr:colOff>609599</xdr:colOff>
      <xdr:row>23</xdr:row>
      <xdr:rowOff>66676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C6ED12-DFA9-CEFD-FFF2-EEA17CAAB4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25</xdr:row>
      <xdr:rowOff>0</xdr:rowOff>
    </xdr:from>
    <xdr:to>
      <xdr:col>29</xdr:col>
      <xdr:colOff>590549</xdr:colOff>
      <xdr:row>49</xdr:row>
      <xdr:rowOff>84667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3F96D7-A781-4CAF-BD84-7B40D5C227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F1008-16F5-4132-9473-BE3A1CA0BE49}">
  <dimension ref="B2:AD306"/>
  <sheetViews>
    <sheetView tabSelected="1" zoomScale="90" zoomScaleNormal="90" workbookViewId="0">
      <selection activeCell="C36" sqref="C36"/>
    </sheetView>
  </sheetViews>
  <sheetFormatPr defaultRowHeight="15" x14ac:dyDescent="0.25"/>
  <cols>
    <col min="2" max="2" width="17.5703125" customWidth="1"/>
    <col min="3" max="3" width="11.140625" customWidth="1"/>
    <col min="4" max="4" width="15.28515625" customWidth="1"/>
    <col min="8" max="8" width="9.140625" customWidth="1"/>
    <col min="9" max="9" width="20.140625" customWidth="1"/>
    <col min="10" max="10" width="18.85546875" customWidth="1"/>
    <col min="11" max="11" width="19.85546875" customWidth="1"/>
    <col min="14" max="14" width="18.85546875" customWidth="1"/>
  </cols>
  <sheetData>
    <row r="2" spans="2:30" x14ac:dyDescent="0.25">
      <c r="H2" s="14" t="s">
        <v>14</v>
      </c>
      <c r="I2" s="14"/>
      <c r="J2" s="14"/>
      <c r="K2" s="14"/>
      <c r="M2" s="14" t="s">
        <v>20</v>
      </c>
      <c r="N2" s="24"/>
      <c r="O2" s="24"/>
      <c r="P2" s="24"/>
      <c r="Q2" s="24"/>
      <c r="R2" s="24"/>
    </row>
    <row r="3" spans="2:30" x14ac:dyDescent="0.25">
      <c r="B3" s="11" t="s">
        <v>9</v>
      </c>
      <c r="C3" s="11"/>
      <c r="D3" s="11"/>
      <c r="E3" s="11"/>
      <c r="H3" s="14"/>
      <c r="I3" s="14"/>
      <c r="J3" s="14"/>
      <c r="K3" s="14"/>
      <c r="M3" s="24"/>
      <c r="N3" s="24"/>
      <c r="O3" s="24"/>
      <c r="P3" s="24"/>
      <c r="Q3" s="24"/>
      <c r="R3" s="24"/>
      <c r="T3" s="14" t="s">
        <v>17</v>
      </c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 spans="2:30" ht="15.75" thickBot="1" x14ac:dyDescent="0.3">
      <c r="B4" s="12"/>
      <c r="C4" s="12"/>
      <c r="D4" s="12"/>
      <c r="E4" s="12"/>
      <c r="H4" s="13" t="s">
        <v>15</v>
      </c>
      <c r="I4" s="23" t="s">
        <v>16</v>
      </c>
      <c r="J4" s="23" t="s">
        <v>18</v>
      </c>
      <c r="K4" s="23" t="s">
        <v>19</v>
      </c>
      <c r="M4" s="13" t="s">
        <v>15</v>
      </c>
      <c r="N4" s="23" t="s">
        <v>27</v>
      </c>
      <c r="O4" s="10" t="s">
        <v>26</v>
      </c>
      <c r="P4" s="10" t="s">
        <v>28</v>
      </c>
      <c r="Q4" s="10" t="s">
        <v>29</v>
      </c>
      <c r="R4" s="10" t="s">
        <v>12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 spans="2:30" ht="15.75" thickTop="1" x14ac:dyDescent="0.25">
      <c r="B5" s="4" t="s">
        <v>0</v>
      </c>
      <c r="C5" s="16">
        <v>300</v>
      </c>
      <c r="D5" s="5" t="s">
        <v>5</v>
      </c>
      <c r="E5" s="6">
        <v>350</v>
      </c>
      <c r="H5" s="13"/>
      <c r="I5" s="23"/>
      <c r="J5" s="23"/>
      <c r="K5" s="23"/>
      <c r="M5" s="13"/>
      <c r="N5" s="23"/>
      <c r="O5" s="10"/>
      <c r="P5" s="10"/>
      <c r="Q5" s="10"/>
      <c r="R5" s="10"/>
    </row>
    <row r="6" spans="2:30" x14ac:dyDescent="0.25">
      <c r="B6" s="4" t="s">
        <v>1</v>
      </c>
      <c r="C6" s="17">
        <v>30</v>
      </c>
      <c r="D6" s="5" t="s">
        <v>7</v>
      </c>
      <c r="E6" s="6">
        <v>2.37689218E-3</v>
      </c>
      <c r="H6" s="22">
        <f>0</f>
        <v>0</v>
      </c>
      <c r="I6" s="15">
        <f>DEGREES(-2*$E$5/$C$6*$C$9/$C$8*$C$18*(1-EXP(-$C$20*H6)))</f>
        <v>0</v>
      </c>
      <c r="J6">
        <f>0</f>
        <v>0</v>
      </c>
      <c r="K6">
        <f>0</f>
        <v>0</v>
      </c>
      <c r="M6" s="22">
        <f>0</f>
        <v>0</v>
      </c>
      <c r="N6">
        <f>0</f>
        <v>0</v>
      </c>
      <c r="O6">
        <f>$E$7-N6</f>
        <v>50</v>
      </c>
      <c r="P6">
        <v>0</v>
      </c>
      <c r="Q6">
        <f>0</f>
        <v>0</v>
      </c>
      <c r="R6">
        <f>$C$34*O6+$C$35*P6+$C$36*Q6</f>
        <v>-100</v>
      </c>
    </row>
    <row r="7" spans="2:30" x14ac:dyDescent="0.25">
      <c r="B7" s="4" t="s">
        <v>2</v>
      </c>
      <c r="C7" s="17">
        <v>9496</v>
      </c>
      <c r="D7" s="5" t="s">
        <v>8</v>
      </c>
      <c r="E7" s="6">
        <v>50</v>
      </c>
      <c r="H7" s="22">
        <f>H6+$E$8</f>
        <v>0.01</v>
      </c>
      <c r="I7" s="15">
        <f t="shared" ref="I7:I70" si="0">DEGREES(-2*$E$5/$C$6*$C$9/$C$8*$C$18*(1-EXP(-$C$20*H7)))</f>
        <v>1.1011944423338693</v>
      </c>
      <c r="J7">
        <f>J6+$E$8*DEGREES($E$6*$C$5*$C$6^2*$E$5/(4*$C$7)*$C$8*RADIANS(J6) +$E$6*$C$5*$C$6*$E$5^2/(2*$C$7)*$C$9*$C$18)</f>
        <v>1.1135017734620629</v>
      </c>
      <c r="K7">
        <f>K6+$E$8*DEGREES($E$6*$C$5*$C$6^2*$E$5/(4*$C$7)*$C$8*RADIANS(K6)+$E$6*$C$5*$C$6*$E$5^2/(2*$C$7)*$C$9*RADIANS(-21.5))</f>
        <v>3.9663153939347877</v>
      </c>
      <c r="M7" s="22">
        <f>M6+$E$8</f>
        <v>0.01</v>
      </c>
      <c r="N7">
        <f>N6+$E$8*DEGREES($E$6*$C$5*$C$6^2*$E$5/(4*$C$7)*$C$8*RADIANS(N6)+$E$6*$C$5*$C$6*$E$5^2/(2*$C$7)*$C$9*RADIANS(R6))</f>
        <v>18.447978576440871</v>
      </c>
      <c r="O7">
        <f t="shared" ref="O7:O70" si="1">$E$7-N7</f>
        <v>31.552021423559129</v>
      </c>
      <c r="P7">
        <f>P6+(O7+O6)*$E$8/2</f>
        <v>0.40776010711779564</v>
      </c>
      <c r="Q7">
        <f>(O7-O6)/$E$8</f>
        <v>-1844.7978576440871</v>
      </c>
      <c r="R7">
        <f t="shared" ref="R7:R70" si="2">$C$34*O7+$C$35*P7+$C$36*Q7</f>
        <v>-27.023605908472106</v>
      </c>
    </row>
    <row r="8" spans="2:30" x14ac:dyDescent="0.25">
      <c r="B8" s="4" t="s">
        <v>3</v>
      </c>
      <c r="C8" s="17">
        <v>-0.37659999999999999</v>
      </c>
      <c r="D8" s="5" t="s">
        <v>6</v>
      </c>
      <c r="E8" s="6">
        <v>0.01</v>
      </c>
      <c r="H8" s="22">
        <f t="shared" ref="H8:H71" si="3">H7+$E$8</f>
        <v>0.02</v>
      </c>
      <c r="I8" s="15">
        <f t="shared" si="0"/>
        <v>2.1781363006711958</v>
      </c>
      <c r="J8">
        <f>J7+$E$8*DEGREES($E$6*$C$5*$C$6^2*$E$5/(4*$C$7)*$C$8*RADIANS(J7) +$E$6*$C$5*$C$6*$E$5^2/(2*$C$7)*$C$9*$C$18)</f>
        <v>2.2022058229340624</v>
      </c>
      <c r="K8">
        <f t="shared" ref="K8:K20" si="4">K7+$E$8*DEGREES($E$6*$C$5*$C$6^2*$E$5/(4*$C$7)*$C$8*RADIANS(K7)+$E$6*$C$5*$C$6*$E$5^2/(2*$C$7)*$C$9*RADIANS(-21.5))</f>
        <v>7.8443008033644501</v>
      </c>
      <c r="M8" s="22">
        <f t="shared" ref="M8:M71" si="5">M7+$E$8</f>
        <v>0.02</v>
      </c>
      <c r="N8">
        <f t="shared" ref="N8:N71" si="6">N7+$E$8*DEGREES($E$6*$C$5*$C$6^2*$E$5/(4*$C$7)*$C$8*RADIANS(N7)+$E$6*$C$5*$C$6*$E$5^2/(2*$C$7)*$C$9*RADIANS(R7))</f>
        <v>23.022450467784473</v>
      </c>
      <c r="O8">
        <f t="shared" si="1"/>
        <v>26.977549532215527</v>
      </c>
      <c r="P8">
        <f t="shared" ref="P8:P71" si="7">P7+(O8+O7)*$E$8/2</f>
        <v>0.70040796189666898</v>
      </c>
      <c r="Q8">
        <f t="shared" ref="Q8:Q71" si="8">(O8-O7)/$E$8</f>
        <v>-457.44718913436026</v>
      </c>
      <c r="R8">
        <f t="shared" si="2"/>
        <v>-46.206971205537187</v>
      </c>
    </row>
    <row r="9" spans="2:30" x14ac:dyDescent="0.25">
      <c r="B9" s="4" t="s">
        <v>4</v>
      </c>
      <c r="C9" s="17">
        <v>-0.13370000000000001</v>
      </c>
      <c r="D9" s="5"/>
      <c r="E9" s="6"/>
      <c r="H9" s="22">
        <f t="shared" si="3"/>
        <v>0.03</v>
      </c>
      <c r="I9" s="15">
        <f t="shared" si="0"/>
        <v>3.2313597112261667</v>
      </c>
      <c r="J9">
        <f t="shared" ref="J9:K72" si="9">J8+$E$8*DEGREES($E$6*$C$5*$C$6^2*$E$5/(4*$C$7)*$C$8*RADIANS(J8) +$E$6*$C$5*$C$6*$E$5^2/(2*$C$7)*$C$9*$C$18)</f>
        <v>3.2666643946088141</v>
      </c>
      <c r="K9">
        <f t="shared" si="4"/>
        <v>11.635923340176914</v>
      </c>
      <c r="M9" s="22">
        <f t="shared" si="5"/>
        <v>0.03</v>
      </c>
      <c r="N9">
        <f t="shared" si="6"/>
        <v>31.033991828097765</v>
      </c>
      <c r="O9">
        <f t="shared" si="1"/>
        <v>18.966008171902235</v>
      </c>
      <c r="P9">
        <f t="shared" si="7"/>
        <v>0.93012575041725776</v>
      </c>
      <c r="Q9">
        <f t="shared" si="8"/>
        <v>-801.15413603132913</v>
      </c>
      <c r="R9">
        <f t="shared" si="2"/>
        <v>-23.769185124012402</v>
      </c>
    </row>
    <row r="10" spans="2:30" x14ac:dyDescent="0.25">
      <c r="B10" s="4"/>
      <c r="C10" s="17"/>
      <c r="D10" s="5"/>
      <c r="E10" s="6"/>
      <c r="H10" s="22">
        <f t="shared" si="3"/>
        <v>0.04</v>
      </c>
      <c r="I10" s="15">
        <f t="shared" si="0"/>
        <v>4.2613870464563597</v>
      </c>
      <c r="J10">
        <f t="shared" si="9"/>
        <v>4.3074174361368307</v>
      </c>
      <c r="K10">
        <f t="shared" si="4"/>
        <v>15.34310630860859</v>
      </c>
      <c r="M10" s="22">
        <f t="shared" si="5"/>
        <v>0.04</v>
      </c>
      <c r="N10">
        <f t="shared" si="6"/>
        <v>34.727797908806266</v>
      </c>
      <c r="O10">
        <f t="shared" si="1"/>
        <v>15.272202091193734</v>
      </c>
      <c r="P10">
        <f t="shared" si="7"/>
        <v>1.1013168017327375</v>
      </c>
      <c r="Q10">
        <f t="shared" si="8"/>
        <v>-369.38060807085014</v>
      </c>
      <c r="R10">
        <f t="shared" si="2"/>
        <v>-25.359425624435936</v>
      </c>
    </row>
    <row r="11" spans="2:30" x14ac:dyDescent="0.25">
      <c r="B11" s="4"/>
      <c r="C11" s="17"/>
      <c r="D11" s="5"/>
      <c r="E11" s="6"/>
      <c r="H11" s="22">
        <f t="shared" si="3"/>
        <v>0.05</v>
      </c>
      <c r="I11" s="15">
        <f t="shared" si="0"/>
        <v>5.2687291741464017</v>
      </c>
      <c r="J11">
        <f t="shared" si="9"/>
        <v>5.324992870515298</v>
      </c>
      <c r="K11">
        <f t="shared" si="4"/>
        <v>18.967730180842324</v>
      </c>
      <c r="M11" s="22">
        <f t="shared" si="5"/>
        <v>0.05</v>
      </c>
      <c r="N11">
        <f t="shared" si="6"/>
        <v>38.632710023912907</v>
      </c>
      <c r="O11">
        <f t="shared" si="1"/>
        <v>11.367289976087093</v>
      </c>
      <c r="P11">
        <f t="shared" si="7"/>
        <v>1.2345142620691416</v>
      </c>
      <c r="Q11">
        <f t="shared" si="8"/>
        <v>-390.49121151066402</v>
      </c>
      <c r="R11">
        <f t="shared" si="2"/>
        <v>-17.393784246099191</v>
      </c>
    </row>
    <row r="12" spans="2:30" x14ac:dyDescent="0.25">
      <c r="B12" s="4"/>
      <c r="C12" s="17"/>
      <c r="D12" s="5"/>
      <c r="E12" s="6"/>
      <c r="H12" s="22">
        <f t="shared" si="3"/>
        <v>6.0000000000000005E-2</v>
      </c>
      <c r="I12" s="15">
        <f t="shared" si="0"/>
        <v>6.2538857107856218</v>
      </c>
      <c r="J12">
        <f t="shared" si="9"/>
        <v>6.3199068638775282</v>
      </c>
      <c r="K12">
        <f t="shared" si="4"/>
        <v>22.511633550878756</v>
      </c>
      <c r="M12" s="22">
        <f t="shared" si="5"/>
        <v>6.0000000000000005E-2</v>
      </c>
      <c r="N12">
        <f t="shared" si="6"/>
        <v>40.981159792760181</v>
      </c>
      <c r="O12">
        <f t="shared" si="1"/>
        <v>9.0188402072398191</v>
      </c>
      <c r="P12">
        <f t="shared" si="7"/>
        <v>1.3364449129857761</v>
      </c>
      <c r="Q12">
        <f t="shared" si="8"/>
        <v>-234.84497688472743</v>
      </c>
      <c r="R12">
        <f t="shared" si="2"/>
        <v>-16.013670702756642</v>
      </c>
    </row>
    <row r="13" spans="2:30" x14ac:dyDescent="0.25">
      <c r="B13" s="4"/>
      <c r="C13" s="17"/>
      <c r="D13" s="5"/>
      <c r="E13" s="6"/>
      <c r="H13" s="22">
        <f t="shared" si="3"/>
        <v>7.0000000000000007E-2</v>
      </c>
      <c r="I13" s="15">
        <f t="shared" si="0"/>
        <v>7.2173452693653273</v>
      </c>
      <c r="J13">
        <f t="shared" si="9"/>
        <v>7.2926640873187374</v>
      </c>
      <c r="K13">
        <f t="shared" si="4"/>
        <v>25.976614067164913</v>
      </c>
      <c r="M13" s="22">
        <f t="shared" si="5"/>
        <v>7.0000000000000007E-2</v>
      </c>
      <c r="N13">
        <f t="shared" si="6"/>
        <v>43.022706451151102</v>
      </c>
      <c r="O13">
        <f t="shared" si="1"/>
        <v>6.9772935488488983</v>
      </c>
      <c r="P13">
        <f t="shared" si="7"/>
        <v>1.4164255817662197</v>
      </c>
      <c r="Q13">
        <f t="shared" si="8"/>
        <v>-204.15466583909208</v>
      </c>
      <c r="R13">
        <f t="shared" si="2"/>
        <v>-12.704344944448394</v>
      </c>
    </row>
    <row r="14" spans="2:30" ht="15.75" thickBot="1" x14ac:dyDescent="0.3">
      <c r="B14" s="7"/>
      <c r="C14" s="18"/>
      <c r="D14" s="8"/>
      <c r="E14" s="9"/>
      <c r="H14" s="22">
        <f t="shared" si="3"/>
        <v>0.08</v>
      </c>
      <c r="I14" s="15">
        <f t="shared" si="0"/>
        <v>8.159585701718596</v>
      </c>
      <c r="J14">
        <f t="shared" si="9"/>
        <v>8.2437579728909505</v>
      </c>
      <c r="K14">
        <f t="shared" si="4"/>
        <v>29.364429344453146</v>
      </c>
      <c r="M14" s="22">
        <f t="shared" si="5"/>
        <v>0.08</v>
      </c>
      <c r="N14">
        <f t="shared" si="6"/>
        <v>44.408284086130202</v>
      </c>
      <c r="O14">
        <f t="shared" si="1"/>
        <v>5.5917159138697983</v>
      </c>
      <c r="P14">
        <f t="shared" si="7"/>
        <v>1.4792706290798132</v>
      </c>
      <c r="Q14">
        <f t="shared" si="8"/>
        <v>-138.55776349791</v>
      </c>
      <c r="R14">
        <f t="shared" si="2"/>
        <v>-11.370817815941024</v>
      </c>
    </row>
    <row r="15" spans="2:30" x14ac:dyDescent="0.25">
      <c r="H15" s="22">
        <f t="shared" si="3"/>
        <v>0.09</v>
      </c>
      <c r="I15" s="15">
        <f t="shared" si="0"/>
        <v>9.0810743355228745</v>
      </c>
      <c r="J15">
        <f t="shared" si="9"/>
        <v>9.1736709638968907</v>
      </c>
      <c r="K15">
        <f t="shared" si="4"/>
        <v>32.67679785535293</v>
      </c>
      <c r="M15" s="22">
        <f t="shared" si="5"/>
        <v>0.09</v>
      </c>
      <c r="N15">
        <f t="shared" si="6"/>
        <v>45.516996059054861</v>
      </c>
      <c r="O15">
        <f t="shared" si="1"/>
        <v>4.4830039409451388</v>
      </c>
      <c r="P15">
        <f t="shared" si="7"/>
        <v>1.5296442283538878</v>
      </c>
      <c r="Q15">
        <f t="shared" si="8"/>
        <v>-110.87119729246595</v>
      </c>
      <c r="R15">
        <f t="shared" si="2"/>
        <v>-9.8078723927487346</v>
      </c>
    </row>
    <row r="16" spans="2:30" x14ac:dyDescent="0.25">
      <c r="B16" s="14" t="s">
        <v>10</v>
      </c>
      <c r="C16" s="14"/>
      <c r="D16" s="14"/>
      <c r="E16" s="14"/>
      <c r="H16" s="22">
        <f t="shared" si="3"/>
        <v>9.9999999999999992E-2</v>
      </c>
      <c r="I16" s="15">
        <f t="shared" si="0"/>
        <v>9.982268206082777</v>
      </c>
      <c r="J16">
        <f t="shared" si="9"/>
        <v>10.082874759609821</v>
      </c>
      <c r="K16">
        <f t="shared" si="4"/>
        <v>35.915399802027778</v>
      </c>
      <c r="M16" s="22">
        <f t="shared" si="5"/>
        <v>9.9999999999999992E-2</v>
      </c>
      <c r="N16">
        <f t="shared" si="6"/>
        <v>46.312685140185337</v>
      </c>
      <c r="O16">
        <f t="shared" si="1"/>
        <v>3.6873148598146628</v>
      </c>
      <c r="P16">
        <f t="shared" si="7"/>
        <v>1.5704958223576868</v>
      </c>
      <c r="Q16">
        <f t="shared" si="8"/>
        <v>-79.568908113047598</v>
      </c>
      <c r="R16">
        <f t="shared" si="2"/>
        <v>-8.9242432020837477</v>
      </c>
    </row>
    <row r="17" spans="2:18" ht="15.75" thickBot="1" x14ac:dyDescent="0.3">
      <c r="B17" s="14"/>
      <c r="C17" s="14"/>
      <c r="D17" s="14"/>
      <c r="E17" s="14"/>
      <c r="H17" s="22">
        <f t="shared" si="3"/>
        <v>0.10999999999999999</v>
      </c>
      <c r="I17" s="15">
        <f t="shared" si="0"/>
        <v>10.863614283008154</v>
      </c>
      <c r="J17">
        <f t="shared" si="9"/>
        <v>10.971830554543455</v>
      </c>
      <c r="K17">
        <f t="shared" si="4"/>
        <v>39.081877968479425</v>
      </c>
      <c r="M17" s="22">
        <f t="shared" si="5"/>
        <v>0.10999999999999999</v>
      </c>
      <c r="N17">
        <f t="shared" si="6"/>
        <v>46.9276424734675</v>
      </c>
      <c r="O17">
        <f t="shared" si="1"/>
        <v>3.0723575265324996</v>
      </c>
      <c r="P17">
        <f t="shared" si="7"/>
        <v>1.6042941842894227</v>
      </c>
      <c r="Q17">
        <f t="shared" si="8"/>
        <v>-61.495733328216318</v>
      </c>
      <c r="R17">
        <f t="shared" si="2"/>
        <v>-8.1233887550795174</v>
      </c>
    </row>
    <row r="18" spans="2:18" x14ac:dyDescent="0.25">
      <c r="B18" s="1" t="s">
        <v>11</v>
      </c>
      <c r="C18" s="19">
        <f>-C6/(2*E5)*C8/C9*RADIANS(E7)</f>
        <v>-0.1053463505130459</v>
      </c>
      <c r="D18" s="2"/>
      <c r="E18" s="3"/>
      <c r="H18" s="22">
        <f t="shared" si="3"/>
        <v>0.11999999999999998</v>
      </c>
      <c r="I18" s="15">
        <f t="shared" si="0"/>
        <v>11.725549691899872</v>
      </c>
      <c r="J18">
        <f t="shared" si="9"/>
        <v>11.84098927239333</v>
      </c>
      <c r="K18">
        <f t="shared" si="4"/>
        <v>42.177838553851615</v>
      </c>
      <c r="M18" s="22">
        <f t="shared" si="5"/>
        <v>0.11999999999999998</v>
      </c>
      <c r="N18">
        <f t="shared" si="6"/>
        <v>47.381163228313582</v>
      </c>
      <c r="O18">
        <f t="shared" si="1"/>
        <v>2.6188367716864178</v>
      </c>
      <c r="P18">
        <f t="shared" si="7"/>
        <v>1.6327501557805173</v>
      </c>
      <c r="Q18">
        <f t="shared" si="8"/>
        <v>-45.352075484608179</v>
      </c>
      <c r="R18">
        <f t="shared" si="2"/>
        <v>-7.5961323452417062</v>
      </c>
    </row>
    <row r="19" spans="2:18" x14ac:dyDescent="0.25">
      <c r="B19" s="4" t="s">
        <v>12</v>
      </c>
      <c r="C19" s="20">
        <f>DEGREES(C18)</f>
        <v>-6.0359012715033646</v>
      </c>
      <c r="D19" s="5"/>
      <c r="E19" s="6"/>
      <c r="H19" s="22">
        <f t="shared" si="3"/>
        <v>0.12999999999999998</v>
      </c>
      <c r="I19" s="15">
        <f t="shared" si="0"/>
        <v>12.568501931153147</v>
      </c>
      <c r="J19">
        <f t="shared" si="9"/>
        <v>12.690791794768288</v>
      </c>
      <c r="K19">
        <f t="shared" si="4"/>
        <v>45.204851987176198</v>
      </c>
      <c r="M19" s="22">
        <f t="shared" si="5"/>
        <v>0.12999999999999998</v>
      </c>
      <c r="N19">
        <f t="shared" si="6"/>
        <v>47.727315910333417</v>
      </c>
      <c r="O19">
        <f t="shared" si="1"/>
        <v>2.2726840896665834</v>
      </c>
      <c r="P19">
        <f t="shared" si="7"/>
        <v>1.6572077600872823</v>
      </c>
      <c r="Q19">
        <f t="shared" si="8"/>
        <v>-34.61526820198344</v>
      </c>
      <c r="R19">
        <f t="shared" si="2"/>
        <v>-7.1674783354680631</v>
      </c>
    </row>
    <row r="20" spans="2:18" ht="15.75" thickBot="1" x14ac:dyDescent="0.3">
      <c r="B20" s="4" t="s">
        <v>13</v>
      </c>
      <c r="C20" s="17">
        <f>-E6*C5*C6^2*E5/(4*C7)*C8</f>
        <v>2.2270035469241258</v>
      </c>
      <c r="D20" s="5"/>
      <c r="E20" s="6"/>
      <c r="H20" s="22">
        <f t="shared" si="3"/>
        <v>0.13999999999999999</v>
      </c>
      <c r="I20" s="15">
        <f t="shared" si="0"/>
        <v>13.392889083986047</v>
      </c>
      <c r="J20">
        <f t="shared" si="9"/>
        <v>13.521669184828104</v>
      </c>
      <c r="K20" s="8">
        <f t="shared" si="4"/>
        <v>48.164453723974773</v>
      </c>
      <c r="M20" s="22">
        <f t="shared" si="5"/>
        <v>0.13999999999999999</v>
      </c>
      <c r="N20">
        <f t="shared" si="6"/>
        <v>47.986681759956795</v>
      </c>
      <c r="O20">
        <f t="shared" si="1"/>
        <v>2.0133182400432048</v>
      </c>
      <c r="P20">
        <f t="shared" si="7"/>
        <v>1.6786377717358312</v>
      </c>
      <c r="Q20">
        <f t="shared" si="8"/>
        <v>-25.936584962337861</v>
      </c>
      <c r="R20">
        <f t="shared" si="2"/>
        <v>-6.8651803243113143</v>
      </c>
    </row>
    <row r="21" spans="2:18" x14ac:dyDescent="0.25">
      <c r="B21" s="4"/>
      <c r="C21" s="17"/>
      <c r="D21" s="5"/>
      <c r="E21" s="6"/>
      <c r="H21" s="22">
        <f t="shared" si="3"/>
        <v>0.15</v>
      </c>
      <c r="I21" s="15">
        <f t="shared" si="0"/>
        <v>14.199120025798328</v>
      </c>
      <c r="J21">
        <f t="shared" si="9"/>
        <v>14.334042905940699</v>
      </c>
      <c r="K21">
        <f t="shared" ref="K21:K84" si="10">K20+$E$8*DEGREES($E$6*$C$5*$C$6^2*$E$5/(4*$C$7)*$C$8*RADIANS(K20) +$E$6*$C$5*$C$6*$E$5^2/(2*$C$7)*$C$9*$C$18)</f>
        <v>48.205331404647289</v>
      </c>
      <c r="M21" s="22">
        <f t="shared" si="5"/>
        <v>0.15</v>
      </c>
      <c r="N21">
        <f t="shared" si="6"/>
        <v>48.184503650574349</v>
      </c>
      <c r="O21">
        <f t="shared" si="1"/>
        <v>1.8154963494256506</v>
      </c>
      <c r="P21">
        <f t="shared" si="7"/>
        <v>1.6977818446831754</v>
      </c>
      <c r="Q21">
        <f t="shared" si="8"/>
        <v>-19.782189061755417</v>
      </c>
      <c r="R21">
        <f t="shared" si="2"/>
        <v>-6.6309126069825437</v>
      </c>
    </row>
    <row r="22" spans="2:18" x14ac:dyDescent="0.25">
      <c r="B22" s="4"/>
      <c r="C22" s="17"/>
      <c r="D22" s="5"/>
      <c r="E22" s="6"/>
      <c r="H22" s="22">
        <f t="shared" si="3"/>
        <v>0.16</v>
      </c>
      <c r="I22" s="15">
        <f t="shared" si="0"/>
        <v>14.987594626963384</v>
      </c>
      <c r="J22">
        <f t="shared" si="9"/>
        <v>15.128325035469835</v>
      </c>
      <c r="K22">
        <f t="shared" si="10"/>
        <v>48.245298737921324</v>
      </c>
      <c r="M22" s="22">
        <f t="shared" si="5"/>
        <v>0.16</v>
      </c>
      <c r="N22">
        <f t="shared" si="6"/>
        <v>48.334702382366928</v>
      </c>
      <c r="O22">
        <f t="shared" si="1"/>
        <v>1.6652976176330725</v>
      </c>
      <c r="P22">
        <f t="shared" si="7"/>
        <v>1.7151858145184691</v>
      </c>
      <c r="Q22">
        <f t="shared" si="8"/>
        <v>-15.019873179257814</v>
      </c>
      <c r="R22">
        <f t="shared" si="2"/>
        <v>-6.4605694007179268</v>
      </c>
    </row>
    <row r="23" spans="2:18" x14ac:dyDescent="0.25">
      <c r="B23" s="4"/>
      <c r="C23" s="17"/>
      <c r="D23" s="5"/>
      <c r="E23" s="6"/>
      <c r="H23" s="22">
        <f t="shared" si="3"/>
        <v>0.17</v>
      </c>
      <c r="I23" s="15">
        <f t="shared" si="0"/>
        <v>15.758703951153949</v>
      </c>
      <c r="J23">
        <f t="shared" si="9"/>
        <v>15.904918473801775</v>
      </c>
      <c r="K23">
        <f t="shared" si="10"/>
        <v>48.284375997265741</v>
      </c>
      <c r="M23" s="22">
        <f t="shared" si="5"/>
        <v>0.17</v>
      </c>
      <c r="N23">
        <f t="shared" si="6"/>
        <v>48.450131304876933</v>
      </c>
      <c r="O23">
        <f t="shared" si="1"/>
        <v>1.5498686951230667</v>
      </c>
      <c r="P23">
        <f t="shared" si="7"/>
        <v>1.7312616460822499</v>
      </c>
      <c r="Q23">
        <f t="shared" si="8"/>
        <v>-11.54289225100058</v>
      </c>
      <c r="R23">
        <f t="shared" si="2"/>
        <v>-6.3314028373906215</v>
      </c>
    </row>
    <row r="24" spans="2:18" x14ac:dyDescent="0.25">
      <c r="B24" s="4"/>
      <c r="C24" s="17"/>
      <c r="D24" s="5"/>
      <c r="E24" s="6"/>
      <c r="H24" s="22">
        <f t="shared" si="3"/>
        <v>0.18000000000000002</v>
      </c>
      <c r="I24" s="15">
        <f t="shared" si="0"/>
        <v>16.512830449299912</v>
      </c>
      <c r="J24">
        <f t="shared" si="9"/>
        <v>16.664217148716883</v>
      </c>
      <c r="K24">
        <f t="shared" si="10"/>
        <v>48.322583004658512</v>
      </c>
      <c r="M24" s="22">
        <f t="shared" si="5"/>
        <v>0.18000000000000002</v>
      </c>
      <c r="N24">
        <f t="shared" si="6"/>
        <v>48.539161001257916</v>
      </c>
      <c r="O24">
        <f t="shared" si="1"/>
        <v>1.4608389987420836</v>
      </c>
      <c r="P24">
        <f t="shared" si="7"/>
        <v>1.7463151845515756</v>
      </c>
      <c r="Q24">
        <f t="shared" si="8"/>
        <v>-8.9029696380983125</v>
      </c>
      <c r="R24">
        <f t="shared" si="2"/>
        <v>-6.2362489738253526</v>
      </c>
    </row>
    <row r="25" spans="2:18" x14ac:dyDescent="0.25">
      <c r="B25" s="4"/>
      <c r="C25" s="17"/>
      <c r="D25" s="5"/>
      <c r="E25" s="6"/>
      <c r="H25" s="22">
        <f t="shared" si="3"/>
        <v>0.19000000000000003</v>
      </c>
      <c r="I25" s="15">
        <f t="shared" si="0"/>
        <v>17.250348149274366</v>
      </c>
      <c r="J25">
        <f t="shared" si="9"/>
        <v>17.406606215209884</v>
      </c>
      <c r="K25">
        <f t="shared" si="10"/>
        <v>48.359939140641472</v>
      </c>
      <c r="M25" s="22">
        <f t="shared" si="5"/>
        <v>0.19000000000000003</v>
      </c>
      <c r="N25">
        <f t="shared" si="6"/>
        <v>48.608654038777509</v>
      </c>
      <c r="O25">
        <f t="shared" si="1"/>
        <v>1.3913459612224912</v>
      </c>
      <c r="P25">
        <f t="shared" si="7"/>
        <v>1.7605761093513985</v>
      </c>
      <c r="Q25">
        <f t="shared" si="8"/>
        <v>-6.9493037519592349</v>
      </c>
      <c r="R25">
        <f t="shared" si="2"/>
        <v>-6.1648580661085948</v>
      </c>
    </row>
    <row r="26" spans="2:18" x14ac:dyDescent="0.25">
      <c r="B26" s="4"/>
      <c r="C26" s="17"/>
      <c r="D26" s="5"/>
      <c r="E26" s="6"/>
      <c r="H26" s="22">
        <f t="shared" si="3"/>
        <v>0.20000000000000004</v>
      </c>
      <c r="I26" s="15">
        <f t="shared" si="0"/>
        <v>17.97162284140213</v>
      </c>
      <c r="J26">
        <f t="shared" si="9"/>
        <v>18.132462250860108</v>
      </c>
      <c r="K26">
        <f t="shared" si="10"/>
        <v>48.396463354151102</v>
      </c>
      <c r="M26" s="22">
        <f t="shared" si="5"/>
        <v>0.20000000000000004</v>
      </c>
      <c r="N26">
        <f t="shared" si="6"/>
        <v>48.663429284525556</v>
      </c>
      <c r="O26">
        <f t="shared" si="1"/>
        <v>1.3365707154744442</v>
      </c>
      <c r="P26">
        <f t="shared" si="7"/>
        <v>1.7742156927348831</v>
      </c>
      <c r="Q26">
        <f t="shared" si="8"/>
        <v>-5.4775245748047041</v>
      </c>
      <c r="R26">
        <f t="shared" si="2"/>
        <v>-6.1120223249225605</v>
      </c>
    </row>
    <row r="27" spans="2:18" x14ac:dyDescent="0.25">
      <c r="B27" s="4"/>
      <c r="C27" s="17"/>
      <c r="D27" s="5"/>
      <c r="E27" s="6"/>
      <c r="H27" s="22">
        <f t="shared" si="3"/>
        <v>0.21000000000000005</v>
      </c>
      <c r="I27" s="15">
        <f t="shared" si="0"/>
        <v>18.677012259882552</v>
      </c>
      <c r="J27">
        <f t="shared" si="9"/>
        <v>18.842153446850837</v>
      </c>
      <c r="K27">
        <f t="shared" si="10"/>
        <v>48.432174172130388</v>
      </c>
      <c r="M27" s="22">
        <f t="shared" si="5"/>
        <v>0.21000000000000005</v>
      </c>
      <c r="N27">
        <f t="shared" si="6"/>
        <v>48.707237557393256</v>
      </c>
      <c r="O27">
        <f t="shared" si="1"/>
        <v>1.2927624426067439</v>
      </c>
      <c r="P27">
        <f t="shared" si="7"/>
        <v>1.7873623585252891</v>
      </c>
      <c r="Q27">
        <f t="shared" si="8"/>
        <v>-4.3808272867700282</v>
      </c>
      <c r="R27">
        <f t="shared" si="2"/>
        <v>-6.0726330565286659</v>
      </c>
    </row>
    <row r="28" spans="2:18" ht="15.75" thickBot="1" x14ac:dyDescent="0.3">
      <c r="B28" s="7"/>
      <c r="C28" s="18"/>
      <c r="D28" s="8"/>
      <c r="E28" s="9"/>
      <c r="H28" s="22">
        <f t="shared" si="3"/>
        <v>0.22000000000000006</v>
      </c>
      <c r="I28" s="15">
        <f t="shared" si="0"/>
        <v>19.366866260216742</v>
      </c>
      <c r="J28">
        <f t="shared" si="9"/>
        <v>19.536039794734645</v>
      </c>
      <c r="K28">
        <f t="shared" si="10"/>
        <v>48.467089708926636</v>
      </c>
      <c r="M28" s="22">
        <f t="shared" si="5"/>
        <v>0.22000000000000006</v>
      </c>
      <c r="N28">
        <f t="shared" si="6"/>
        <v>48.742803694675622</v>
      </c>
      <c r="O28">
        <f t="shared" si="1"/>
        <v>1.2571963053243778</v>
      </c>
      <c r="P28">
        <f t="shared" si="7"/>
        <v>1.8001121522649448</v>
      </c>
      <c r="Q28">
        <f t="shared" si="8"/>
        <v>-3.5566137282366128</v>
      </c>
      <c r="R28">
        <f t="shared" si="2"/>
        <v>-6.0434846406139133</v>
      </c>
    </row>
    <row r="29" spans="2:18" x14ac:dyDescent="0.25">
      <c r="H29" s="22">
        <f t="shared" si="3"/>
        <v>0.23000000000000007</v>
      </c>
      <c r="I29" s="15">
        <f t="shared" si="0"/>
        <v>20.041526992727128</v>
      </c>
      <c r="J29">
        <f t="shared" si="9"/>
        <v>20.214473269039459</v>
      </c>
      <c r="K29">
        <f t="shared" si="10"/>
        <v>48.501227675480003</v>
      </c>
      <c r="M29" s="22">
        <f t="shared" si="5"/>
        <v>0.23000000000000007</v>
      </c>
      <c r="N29">
        <f t="shared" si="6"/>
        <v>48.772200479295883</v>
      </c>
      <c r="O29">
        <f t="shared" si="1"/>
        <v>1.2277995207041172</v>
      </c>
      <c r="P29">
        <f t="shared" si="7"/>
        <v>1.8125371313950873</v>
      </c>
      <c r="Q29">
        <f t="shared" si="8"/>
        <v>-2.9396784620260519</v>
      </c>
      <c r="R29">
        <f t="shared" si="2"/>
        <v>-6.0218797349578885</v>
      </c>
    </row>
    <row r="30" spans="2:18" x14ac:dyDescent="0.25">
      <c r="H30" s="22">
        <f t="shared" si="3"/>
        <v>0.24000000000000007</v>
      </c>
      <c r="I30" s="15">
        <f t="shared" si="0"/>
        <v>20.70132907225549</v>
      </c>
      <c r="J30">
        <f t="shared" si="9"/>
        <v>20.877798005807986</v>
      </c>
      <c r="K30">
        <f t="shared" si="10"/>
        <v>48.534605388307384</v>
      </c>
      <c r="M30" s="22">
        <f t="shared" si="5"/>
        <v>0.24000000000000007</v>
      </c>
      <c r="N30">
        <f t="shared" si="6"/>
        <v>48.796956928113083</v>
      </c>
      <c r="O30">
        <f t="shared" si="1"/>
        <v>1.2030430718869169</v>
      </c>
      <c r="P30">
        <f t="shared" si="7"/>
        <v>1.8246913443580426</v>
      </c>
      <c r="Q30">
        <f t="shared" si="8"/>
        <v>-2.4756448817200294</v>
      </c>
      <c r="R30">
        <f t="shared" si="2"/>
        <v>-6.0059559348555185</v>
      </c>
    </row>
    <row r="31" spans="2:18" x14ac:dyDescent="0.25">
      <c r="B31" s="21" t="s">
        <v>21</v>
      </c>
      <c r="C31" s="21"/>
      <c r="H31" s="22">
        <f t="shared" si="3"/>
        <v>0.25000000000000006</v>
      </c>
      <c r="I31" s="15">
        <f t="shared" si="0"/>
        <v>21.346599744123509</v>
      </c>
      <c r="J31">
        <f t="shared" si="9"/>
        <v>21.526350477161049</v>
      </c>
      <c r="K31">
        <f t="shared" si="10"/>
        <v>48.567239778286215</v>
      </c>
      <c r="M31" s="22">
        <f t="shared" si="5"/>
        <v>0.25000000000000006</v>
      </c>
      <c r="N31">
        <f t="shared" si="6"/>
        <v>48.818224430705591</v>
      </c>
      <c r="O31">
        <f t="shared" si="1"/>
        <v>1.181775569294409</v>
      </c>
      <c r="P31">
        <f t="shared" si="7"/>
        <v>1.8366154375639492</v>
      </c>
      <c r="Q31">
        <f t="shared" si="8"/>
        <v>-2.1267502592507981</v>
      </c>
      <c r="R31">
        <f t="shared" si="2"/>
        <v>-5.9942470085317003</v>
      </c>
    </row>
    <row r="32" spans="2:18" x14ac:dyDescent="0.25">
      <c r="B32" s="21"/>
      <c r="C32" s="21"/>
      <c r="H32" s="22">
        <f t="shared" si="3"/>
        <v>0.26000000000000006</v>
      </c>
      <c r="I32" s="15">
        <f t="shared" si="0"/>
        <v>21.977659046438294</v>
      </c>
      <c r="J32">
        <f t="shared" si="9"/>
        <v>22.160459661973416</v>
      </c>
      <c r="K32">
        <f t="shared" si="10"/>
        <v>48.599147399242696</v>
      </c>
      <c r="M32" s="22">
        <f t="shared" si="5"/>
        <v>0.26000000000000006</v>
      </c>
      <c r="N32">
        <f t="shared" si="6"/>
        <v>48.83685824504127</v>
      </c>
      <c r="O32">
        <f t="shared" si="1"/>
        <v>1.1631417549587297</v>
      </c>
      <c r="P32">
        <f t="shared" si="7"/>
        <v>1.8483400241852148</v>
      </c>
      <c r="Q32">
        <f t="shared" si="8"/>
        <v>-1.8633814335679233</v>
      </c>
      <c r="R32">
        <f t="shared" si="2"/>
        <v>-5.9856959296165311</v>
      </c>
    </row>
    <row r="33" spans="2:18" x14ac:dyDescent="0.25">
      <c r="B33" t="s">
        <v>22</v>
      </c>
      <c r="H33" s="22">
        <f t="shared" si="3"/>
        <v>0.27000000000000007</v>
      </c>
      <c r="I33" s="15">
        <f t="shared" si="0"/>
        <v>22.594819968823231</v>
      </c>
      <c r="J33">
        <f t="shared" si="9"/>
        <v>22.780447212748641</v>
      </c>
      <c r="K33">
        <f t="shared" si="10"/>
        <v>48.630344436348743</v>
      </c>
      <c r="M33" s="22">
        <f t="shared" si="5"/>
        <v>0.27000000000000007</v>
      </c>
      <c r="N33">
        <f t="shared" si="6"/>
        <v>48.853499582464444</v>
      </c>
      <c r="O33">
        <f t="shared" si="1"/>
        <v>1.146500417535556</v>
      </c>
      <c r="P33">
        <f t="shared" si="7"/>
        <v>1.8598882350476862</v>
      </c>
      <c r="Q33">
        <f t="shared" si="8"/>
        <v>-1.6641337423173752</v>
      </c>
      <c r="R33">
        <f t="shared" si="2"/>
        <v>-5.9794946303201364</v>
      </c>
    </row>
    <row r="34" spans="2:18" x14ac:dyDescent="0.25">
      <c r="B34" t="s">
        <v>23</v>
      </c>
      <c r="C34">
        <v>-2</v>
      </c>
      <c r="H34" s="22">
        <f t="shared" si="3"/>
        <v>0.28000000000000008</v>
      </c>
      <c r="I34" s="15">
        <f t="shared" si="0"/>
        <v>23.198388607653051</v>
      </c>
      <c r="J34">
        <f t="shared" si="9"/>
        <v>23.386627618777613</v>
      </c>
      <c r="K34">
        <f t="shared" si="10"/>
        <v>48.660846714331903</v>
      </c>
      <c r="M34" s="22">
        <f t="shared" si="5"/>
        <v>0.28000000000000008</v>
      </c>
      <c r="N34">
        <f t="shared" si="6"/>
        <v>48.868626302347288</v>
      </c>
      <c r="O34">
        <f t="shared" si="1"/>
        <v>1.1313736976527125</v>
      </c>
      <c r="P34">
        <f t="shared" si="7"/>
        <v>1.8712776056236275</v>
      </c>
      <c r="Q34">
        <f t="shared" si="8"/>
        <v>-1.5126719882843531</v>
      </c>
      <c r="R34">
        <f t="shared" si="2"/>
        <v>-5.9750491667869934</v>
      </c>
    </row>
    <row r="35" spans="2:18" x14ac:dyDescent="0.25">
      <c r="B35" t="s">
        <v>24</v>
      </c>
      <c r="C35">
        <v>-2</v>
      </c>
      <c r="H35" s="22">
        <f t="shared" si="3"/>
        <v>0.29000000000000009</v>
      </c>
      <c r="I35" s="15">
        <f t="shared" si="0"/>
        <v>23.788664317869944</v>
      </c>
      <c r="J35">
        <f t="shared" si="9"/>
        <v>23.979308365663559</v>
      </c>
      <c r="K35">
        <f t="shared" si="10"/>
        <v>48.690669705502479</v>
      </c>
      <c r="M35" s="22">
        <f t="shared" si="5"/>
        <v>0.29000000000000009</v>
      </c>
      <c r="N35">
        <f t="shared" si="6"/>
        <v>48.882596051481592</v>
      </c>
      <c r="O35">
        <f t="shared" si="1"/>
        <v>1.1174039485184082</v>
      </c>
      <c r="P35">
        <f t="shared" si="7"/>
        <v>1.8825214938544832</v>
      </c>
      <c r="Q35">
        <f t="shared" si="8"/>
        <v>-1.3969749134304266</v>
      </c>
      <c r="R35">
        <f t="shared" si="2"/>
        <v>-5.9719113864771742</v>
      </c>
    </row>
    <row r="36" spans="2:18" x14ac:dyDescent="0.25">
      <c r="B36" t="s">
        <v>25</v>
      </c>
      <c r="C36">
        <v>-0.02</v>
      </c>
      <c r="H36" s="22">
        <f t="shared" si="3"/>
        <v>0.3000000000000001</v>
      </c>
      <c r="I36" s="15">
        <f t="shared" si="0"/>
        <v>24.365939861456123</v>
      </c>
      <c r="J36">
        <f t="shared" si="9"/>
        <v>24.558790091294423</v>
      </c>
      <c r="K36">
        <f t="shared" si="10"/>
        <v>48.719828537601892</v>
      </c>
      <c r="M36" s="22">
        <f t="shared" si="5"/>
        <v>0.3000000000000001</v>
      </c>
      <c r="N36">
        <f t="shared" si="6"/>
        <v>48.895675836767843</v>
      </c>
      <c r="O36">
        <f t="shared" si="1"/>
        <v>1.1043241632321568</v>
      </c>
      <c r="P36">
        <f t="shared" si="7"/>
        <v>1.893630134413236</v>
      </c>
      <c r="Q36">
        <f t="shared" si="8"/>
        <v>-1.3079785286251422</v>
      </c>
      <c r="R36">
        <f t="shared" si="2"/>
        <v>-5.9697490247182827</v>
      </c>
    </row>
    <row r="37" spans="2:18" x14ac:dyDescent="0.25">
      <c r="H37" s="22">
        <f t="shared" si="3"/>
        <v>0.31000000000000011</v>
      </c>
      <c r="I37" s="15">
        <f t="shared" si="0"/>
        <v>24.930501552636457</v>
      </c>
      <c r="J37">
        <f t="shared" si="9"/>
        <v>25.125366738341707</v>
      </c>
      <c r="K37">
        <f t="shared" si="10"/>
        <v>48.748338001476206</v>
      </c>
      <c r="M37" s="22">
        <f t="shared" si="5"/>
        <v>0.31000000000000011</v>
      </c>
      <c r="N37">
        <f t="shared" si="6"/>
        <v>48.90806542273782</v>
      </c>
      <c r="O37">
        <f t="shared" si="1"/>
        <v>1.0919345772621796</v>
      </c>
      <c r="P37">
        <f t="shared" si="7"/>
        <v>1.9046114281157076</v>
      </c>
      <c r="Q37">
        <f t="shared" si="8"/>
        <v>-1.238958596997719</v>
      </c>
      <c r="R37">
        <f t="shared" si="2"/>
        <v>-5.9683128388158195</v>
      </c>
    </row>
    <row r="38" spans="2:18" x14ac:dyDescent="0.25">
      <c r="H38" s="22">
        <f t="shared" si="3"/>
        <v>0.32000000000000012</v>
      </c>
      <c r="I38" s="15">
        <f t="shared" si="0"/>
        <v>25.482629399883141</v>
      </c>
      <c r="J38">
        <f t="shared" si="9"/>
        <v>25.679325703363205</v>
      </c>
      <c r="K38">
        <f t="shared" si="10"/>
        <v>48.776212558578834</v>
      </c>
      <c r="M38" s="22">
        <f t="shared" si="5"/>
        <v>0.32000000000000012</v>
      </c>
      <c r="N38">
        <f t="shared" si="6"/>
        <v>48.919914144921187</v>
      </c>
      <c r="O38">
        <f t="shared" si="1"/>
        <v>1.0800858550788135</v>
      </c>
      <c r="P38">
        <f t="shared" si="7"/>
        <v>1.9154715302774126</v>
      </c>
      <c r="Q38">
        <f t="shared" si="8"/>
        <v>-1.1848722183366078</v>
      </c>
      <c r="R38">
        <f t="shared" si="2"/>
        <v>-5.9674173263457195</v>
      </c>
    </row>
    <row r="39" spans="2:18" x14ac:dyDescent="0.25">
      <c r="H39" s="22">
        <f t="shared" si="3"/>
        <v>0.33000000000000013</v>
      </c>
      <c r="I39" s="15">
        <f t="shared" si="0"/>
        <v>26.022597244792909</v>
      </c>
      <c r="J39">
        <f t="shared" si="9"/>
        <v>26.220947982585169</v>
      </c>
      <c r="K39">
        <f t="shared" si="10"/>
        <v>48.803466348306095</v>
      </c>
      <c r="M39" s="22">
        <f t="shared" si="5"/>
        <v>0.33000000000000013</v>
      </c>
      <c r="N39">
        <f t="shared" si="6"/>
        <v>48.93133379169263</v>
      </c>
      <c r="O39">
        <f t="shared" si="1"/>
        <v>1.0686662083073699</v>
      </c>
      <c r="P39">
        <f t="shared" si="7"/>
        <v>1.9262152905943435</v>
      </c>
      <c r="Q39">
        <f t="shared" si="8"/>
        <v>-1.1419646771443581</v>
      </c>
      <c r="R39">
        <f t="shared" si="2"/>
        <v>-5.9669237042605392</v>
      </c>
    </row>
    <row r="40" spans="2:18" x14ac:dyDescent="0.25">
      <c r="H40" s="22">
        <f t="shared" si="3"/>
        <v>0.34000000000000014</v>
      </c>
      <c r="I40" s="15">
        <f t="shared" si="0"/>
        <v>26.55067289790561</v>
      </c>
      <c r="J40">
        <f t="shared" si="9"/>
        <v>26.75050831443793</v>
      </c>
      <c r="K40">
        <f t="shared" si="10"/>
        <v>48.83011319516946</v>
      </c>
      <c r="M40" s="22">
        <f t="shared" si="5"/>
        <v>0.34000000000000014</v>
      </c>
      <c r="N40">
        <f t="shared" si="6"/>
        <v>48.94240805922891</v>
      </c>
      <c r="O40">
        <f t="shared" si="1"/>
        <v>1.0575919407710899</v>
      </c>
      <c r="P40">
        <f t="shared" si="7"/>
        <v>1.9368465813397358</v>
      </c>
      <c r="Q40">
        <f t="shared" si="8"/>
        <v>-1.1074267536280047</v>
      </c>
      <c r="R40">
        <f t="shared" si="2"/>
        <v>-5.9667285091490907</v>
      </c>
    </row>
    <row r="41" spans="2:18" x14ac:dyDescent="0.25">
      <c r="H41" s="22">
        <f t="shared" si="3"/>
        <v>0.35000000000000014</v>
      </c>
      <c r="I41" s="15">
        <f t="shared" si="0"/>
        <v>27.067118271531513</v>
      </c>
      <c r="J41">
        <f t="shared" si="9"/>
        <v>27.268275318917226</v>
      </c>
      <c r="K41">
        <f t="shared" si="10"/>
        <v>48.856166615808036</v>
      </c>
      <c r="M41" s="22">
        <f t="shared" si="5"/>
        <v>0.35000000000000014</v>
      </c>
      <c r="N41">
        <f t="shared" si="6"/>
        <v>48.953199692882016</v>
      </c>
      <c r="O41">
        <f t="shared" si="1"/>
        <v>1.0468003071179837</v>
      </c>
      <c r="P41">
        <f t="shared" si="7"/>
        <v>1.9473685425791811</v>
      </c>
      <c r="Q41">
        <f t="shared" si="8"/>
        <v>-1.0791633653106203</v>
      </c>
      <c r="R41">
        <f t="shared" si="2"/>
        <v>-5.9667544320881172</v>
      </c>
    </row>
    <row r="42" spans="2:18" x14ac:dyDescent="0.25">
      <c r="H42" s="22">
        <f t="shared" si="3"/>
        <v>0.36000000000000015</v>
      </c>
      <c r="I42" s="15">
        <f t="shared" si="0"/>
        <v>27.572189509653303</v>
      </c>
      <c r="J42">
        <f t="shared" si="9"/>
        <v>27.774511633841968</v>
      </c>
      <c r="K42">
        <f t="shared" si="10"/>
        <v>48.881639825844893</v>
      </c>
      <c r="M42" s="22">
        <f t="shared" si="5"/>
        <v>0.36000000000000015</v>
      </c>
      <c r="N42">
        <f t="shared" si="6"/>
        <v>48.963755778729137</v>
      </c>
      <c r="O42">
        <f t="shared" si="1"/>
        <v>1.0362442212708629</v>
      </c>
      <c r="P42">
        <f t="shared" si="7"/>
        <v>1.9577837652211254</v>
      </c>
      <c r="Q42">
        <f t="shared" si="8"/>
        <v>-1.0556085847120755</v>
      </c>
      <c r="R42">
        <f t="shared" si="2"/>
        <v>-5.9669438012897356</v>
      </c>
    </row>
    <row r="43" spans="2:18" x14ac:dyDescent="0.25">
      <c r="H43" s="22">
        <f t="shared" si="3"/>
        <v>0.37000000000000016</v>
      </c>
      <c r="I43" s="15">
        <f t="shared" si="0"/>
        <v>28.066137114967045</v>
      </c>
      <c r="J43">
        <f t="shared" si="9"/>
        <v>28.269474048077516</v>
      </c>
      <c r="K43">
        <f t="shared" si="10"/>
        <v>48.906545746590716</v>
      </c>
      <c r="M43" s="22">
        <f t="shared" si="5"/>
        <v>0.37000000000000016</v>
      </c>
      <c r="N43">
        <f t="shared" si="6"/>
        <v>48.974111714959768</v>
      </c>
      <c r="O43">
        <f t="shared" si="1"/>
        <v>1.0258882850402316</v>
      </c>
      <c r="P43">
        <f t="shared" si="7"/>
        <v>1.9680944277526808</v>
      </c>
      <c r="Q43">
        <f t="shared" si="8"/>
        <v>-1.0355936230631357</v>
      </c>
      <c r="R43">
        <f t="shared" si="2"/>
        <v>-5.9672535531245625</v>
      </c>
    </row>
    <row r="44" spans="2:18" x14ac:dyDescent="0.25">
      <c r="H44" s="22">
        <f t="shared" si="3"/>
        <v>0.38000000000000017</v>
      </c>
      <c r="I44" s="15">
        <f t="shared" si="0"/>
        <v>28.549206073125273</v>
      </c>
      <c r="J44">
        <f t="shared" si="9"/>
        <v>28.753413631792096</v>
      </c>
      <c r="K44">
        <f t="shared" si="10"/>
        <v>48.930897011598134</v>
      </c>
      <c r="M44" s="22">
        <f t="shared" si="5"/>
        <v>0.38000000000000017</v>
      </c>
      <c r="N44">
        <f t="shared" si="6"/>
        <v>48.984294167075355</v>
      </c>
      <c r="O44">
        <f t="shared" si="1"/>
        <v>1.0157058329246453</v>
      </c>
      <c r="P44">
        <f t="shared" si="7"/>
        <v>1.9783023983425052</v>
      </c>
      <c r="Q44">
        <f t="shared" si="8"/>
        <v>-1.0182452115586216</v>
      </c>
      <c r="R44">
        <f t="shared" si="2"/>
        <v>-5.9676515583031282</v>
      </c>
    </row>
    <row r="45" spans="2:18" x14ac:dyDescent="0.25">
      <c r="H45" s="22">
        <f t="shared" si="3"/>
        <v>0.39000000000000018</v>
      </c>
      <c r="I45" s="15">
        <f t="shared" si="0"/>
        <v>29.021635974243743</v>
      </c>
      <c r="J45">
        <f t="shared" si="9"/>
        <v>29.226575863812386</v>
      </c>
      <c r="K45">
        <f t="shared" si="10"/>
        <v>48.954705973070112</v>
      </c>
      <c r="M45" s="22">
        <f t="shared" si="5"/>
        <v>0.39000000000000018</v>
      </c>
      <c r="N45">
        <f t="shared" si="6"/>
        <v>48.994323279531237</v>
      </c>
      <c r="O45">
        <f t="shared" si="1"/>
        <v>1.0056767204687631</v>
      </c>
      <c r="P45">
        <f t="shared" si="7"/>
        <v>1.9884093111094723</v>
      </c>
      <c r="Q45">
        <f t="shared" si="8"/>
        <v>-1.0029112455882228</v>
      </c>
      <c r="R45">
        <f t="shared" si="2"/>
        <v>-5.9681138382447063</v>
      </c>
    </row>
    <row r="46" spans="2:18" x14ac:dyDescent="0.25">
      <c r="H46" s="22">
        <f t="shared" si="3"/>
        <v>0.40000000000000019</v>
      </c>
      <c r="I46" s="15">
        <f t="shared" si="0"/>
        <v>29.483661131732134</v>
      </c>
      <c r="J46">
        <f t="shared" si="9"/>
        <v>29.689200756142878</v>
      </c>
      <c r="K46">
        <f t="shared" si="10"/>
        <v>48.977984708125625</v>
      </c>
      <c r="M46" s="22">
        <f t="shared" si="5"/>
        <v>0.40000000000000019</v>
      </c>
      <c r="N46">
        <f t="shared" si="6"/>
        <v>49.004214324601591</v>
      </c>
      <c r="O46">
        <f t="shared" si="1"/>
        <v>0.9957856753984089</v>
      </c>
      <c r="P46">
        <f t="shared" si="7"/>
        <v>1.9984166230888081</v>
      </c>
      <c r="Q46">
        <f t="shared" si="8"/>
        <v>-0.98910450703542097</v>
      </c>
      <c r="R46">
        <f t="shared" si="2"/>
        <v>-5.9686225068337251</v>
      </c>
    </row>
    <row r="47" spans="2:18" x14ac:dyDescent="0.25">
      <c r="H47" s="22">
        <f t="shared" si="3"/>
        <v>0.4100000000000002</v>
      </c>
      <c r="I47" s="15">
        <f t="shared" si="0"/>
        <v>29.935510698507631</v>
      </c>
      <c r="J47">
        <f t="shared" si="9"/>
        <v>30.141522975712213</v>
      </c>
      <c r="K47">
        <f t="shared" si="10"/>
        <v>49.000745024925777</v>
      </c>
      <c r="M47" s="22">
        <f t="shared" si="5"/>
        <v>0.4100000000000002</v>
      </c>
      <c r="N47">
        <f t="shared" si="6"/>
        <v>49.013978934819725</v>
      </c>
      <c r="O47">
        <f t="shared" si="1"/>
        <v>0.98602106518027455</v>
      </c>
      <c r="P47">
        <f t="shared" si="7"/>
        <v>2.0083256567917016</v>
      </c>
      <c r="Q47">
        <f t="shared" si="8"/>
        <v>-0.97646102181343508</v>
      </c>
      <c r="R47">
        <f t="shared" si="2"/>
        <v>-5.9691642235076836</v>
      </c>
    </row>
    <row r="48" spans="2:18" x14ac:dyDescent="0.25">
      <c r="H48" s="22">
        <f t="shared" si="3"/>
        <v>0.42000000000000021</v>
      </c>
      <c r="I48" s="15">
        <f t="shared" si="0"/>
        <v>30.377408780649048</v>
      </c>
      <c r="J48">
        <f t="shared" si="9"/>
        <v>30.583771963408214</v>
      </c>
      <c r="K48">
        <f t="shared" si="10"/>
        <v>49.022998468663495</v>
      </c>
      <c r="M48" s="22">
        <f t="shared" si="5"/>
        <v>0.42000000000000021</v>
      </c>
      <c r="N48">
        <f t="shared" si="6"/>
        <v>49.023626022597917</v>
      </c>
      <c r="O48">
        <f t="shared" si="1"/>
        <v>0.97637397740208343</v>
      </c>
      <c r="P48">
        <f t="shared" si="7"/>
        <v>2.0181376320046134</v>
      </c>
      <c r="Q48">
        <f t="shared" si="8"/>
        <v>-0.96470877781911213</v>
      </c>
      <c r="R48">
        <f t="shared" si="2"/>
        <v>-5.9697290432570114</v>
      </c>
    </row>
    <row r="49" spans="8:18" x14ac:dyDescent="0.25">
      <c r="H49" s="22">
        <f t="shared" si="3"/>
        <v>0.43000000000000022</v>
      </c>
      <c r="I49" s="15">
        <f t="shared" si="0"/>
        <v>30.809574548547822</v>
      </c>
      <c r="J49">
        <f t="shared" si="9"/>
        <v>31.016172050461989</v>
      </c>
      <c r="K49">
        <f t="shared" si="10"/>
        <v>49.044756327419861</v>
      </c>
      <c r="M49" s="22">
        <f t="shared" si="5"/>
        <v>0.43000000000000022</v>
      </c>
      <c r="N49">
        <f t="shared" si="6"/>
        <v>49.033162467215462</v>
      </c>
      <c r="O49">
        <f t="shared" si="1"/>
        <v>0.96683753278453821</v>
      </c>
      <c r="P49">
        <f t="shared" si="7"/>
        <v>2.0278536895555463</v>
      </c>
      <c r="Q49">
        <f t="shared" si="8"/>
        <v>-0.95364446175452144</v>
      </c>
      <c r="R49">
        <f t="shared" si="2"/>
        <v>-5.9703095554450787</v>
      </c>
    </row>
    <row r="50" spans="8:18" x14ac:dyDescent="0.25">
      <c r="H50" s="22">
        <f t="shared" si="3"/>
        <v>0.44000000000000022</v>
      </c>
      <c r="I50" s="15">
        <f t="shared" si="0"/>
        <v>31.232222345611049</v>
      </c>
      <c r="J50">
        <f t="shared" si="9"/>
        <v>31.438942572240176</v>
      </c>
      <c r="K50">
        <f t="shared" si="10"/>
        <v>49.06602963788999</v>
      </c>
      <c r="M50" s="22">
        <f t="shared" si="5"/>
        <v>0.44000000000000022</v>
      </c>
      <c r="N50">
        <f t="shared" si="6"/>
        <v>49.042593627637217</v>
      </c>
      <c r="O50">
        <f t="shared" si="1"/>
        <v>0.95740637236278303</v>
      </c>
      <c r="P50">
        <f t="shared" si="7"/>
        <v>2.0374749090812831</v>
      </c>
      <c r="Q50">
        <f t="shared" si="8"/>
        <v>-0.94311604217551803</v>
      </c>
      <c r="R50">
        <f t="shared" si="2"/>
        <v>-5.970900242044622</v>
      </c>
    </row>
    <row r="51" spans="8:18" x14ac:dyDescent="0.25">
      <c r="H51" s="22">
        <f t="shared" si="3"/>
        <v>0.45000000000000023</v>
      </c>
      <c r="I51" s="15">
        <f t="shared" si="0"/>
        <v>31.645561794570465</v>
      </c>
      <c r="J51">
        <f t="shared" si="9"/>
        <v>31.85229797950301</v>
      </c>
      <c r="K51">
        <f t="shared" si="10"/>
        <v>49.086829190981398</v>
      </c>
      <c r="M51" s="22">
        <f t="shared" si="5"/>
        <v>0.45000000000000023</v>
      </c>
      <c r="N51">
        <f t="shared" si="6"/>
        <v>49.051923725519195</v>
      </c>
      <c r="O51">
        <f t="shared" si="1"/>
        <v>0.94807627448080467</v>
      </c>
      <c r="P51">
        <f t="shared" si="7"/>
        <v>2.0470023223155009</v>
      </c>
      <c r="Q51">
        <f t="shared" si="8"/>
        <v>-0.93300978819783609</v>
      </c>
      <c r="R51">
        <f t="shared" si="2"/>
        <v>-5.9714969978286545</v>
      </c>
    </row>
    <row r="52" spans="8:18" x14ac:dyDescent="0.25">
      <c r="H52" s="22">
        <f t="shared" si="3"/>
        <v>0.46000000000000024</v>
      </c>
      <c r="I52" s="15">
        <f t="shared" si="0"/>
        <v>32.049797901450056</v>
      </c>
      <c r="J52">
        <f t="shared" si="9"/>
        <v>32.256447947184697</v>
      </c>
      <c r="K52">
        <f t="shared" si="10"/>
        <v>49.10716553728772</v>
      </c>
      <c r="M52" s="22">
        <f t="shared" si="5"/>
        <v>0.46000000000000024</v>
      </c>
      <c r="N52">
        <f t="shared" si="6"/>
        <v>49.061156131169604</v>
      </c>
      <c r="O52">
        <f t="shared" si="1"/>
        <v>0.93884386883039639</v>
      </c>
      <c r="P52">
        <f t="shared" si="7"/>
        <v>2.0564369230320572</v>
      </c>
      <c r="Q52">
        <f t="shared" si="8"/>
        <v>-0.92324056504082819</v>
      </c>
      <c r="R52">
        <f t="shared" si="2"/>
        <v>-5.9720967724240905</v>
      </c>
    </row>
    <row r="53" spans="8:18" x14ac:dyDescent="0.25">
      <c r="H53" s="22">
        <f t="shared" si="3"/>
        <v>0.47000000000000025</v>
      </c>
      <c r="I53" s="15">
        <f t="shared" si="0"/>
        <v>32.445131157243921</v>
      </c>
      <c r="J53">
        <f t="shared" si="9"/>
        <v>32.651597480751221</v>
      </c>
      <c r="K53">
        <f t="shared" si="10"/>
        <v>49.127048992440486</v>
      </c>
      <c r="M53" s="22">
        <f t="shared" si="5"/>
        <v>0.47000000000000025</v>
      </c>
      <c r="N53">
        <f t="shared" si="6"/>
        <v>49.070293577107584</v>
      </c>
      <c r="O53">
        <f t="shared" si="1"/>
        <v>0.92970642289241567</v>
      </c>
      <c r="P53">
        <f t="shared" si="7"/>
        <v>2.0657796744906713</v>
      </c>
      <c r="Q53">
        <f t="shared" si="8"/>
        <v>-0.91374459379807149</v>
      </c>
      <c r="R53">
        <f t="shared" si="2"/>
        <v>-5.9726973028902126</v>
      </c>
    </row>
    <row r="54" spans="8:18" x14ac:dyDescent="0.25">
      <c r="H54" s="22">
        <f t="shared" si="3"/>
        <v>0.48000000000000026</v>
      </c>
      <c r="I54" s="15">
        <f t="shared" si="0"/>
        <v>32.831757637354769</v>
      </c>
      <c r="J54">
        <f t="shared" si="9"/>
        <v>33.037947020189563</v>
      </c>
      <c r="K54">
        <f t="shared" si="10"/>
        <v>49.146489642341749</v>
      </c>
      <c r="M54" s="22">
        <f t="shared" si="5"/>
        <v>0.48000000000000026</v>
      </c>
      <c r="N54">
        <f t="shared" si="6"/>
        <v>49.079338317532162</v>
      </c>
      <c r="O54">
        <f t="shared" si="1"/>
        <v>0.92066168246783775</v>
      </c>
      <c r="P54">
        <f t="shared" si="7"/>
        <v>2.0750315150174727</v>
      </c>
      <c r="Q54">
        <f t="shared" si="8"/>
        <v>-0.90447404245779239</v>
      </c>
      <c r="R54">
        <f t="shared" si="2"/>
        <v>-5.9732969141214651</v>
      </c>
    </row>
    <row r="55" spans="8:18" x14ac:dyDescent="0.25">
      <c r="H55" s="22">
        <f t="shared" si="3"/>
        <v>0.49000000000000027</v>
      </c>
      <c r="I55" s="15">
        <f t="shared" si="0"/>
        <v>33.209869098842489</v>
      </c>
      <c r="J55">
        <f t="shared" si="9"/>
        <v>33.415692541681089</v>
      </c>
      <c r="K55">
        <f t="shared" si="10"/>
        <v>49.165497348280162</v>
      </c>
      <c r="M55" s="22">
        <f t="shared" si="5"/>
        <v>0.49000000000000027</v>
      </c>
      <c r="N55">
        <f t="shared" si="6"/>
        <v>49.08829224741816</v>
      </c>
      <c r="O55">
        <f t="shared" si="1"/>
        <v>0.91170775258184023</v>
      </c>
      <c r="P55">
        <f t="shared" si="7"/>
        <v>2.0841933621927211</v>
      </c>
      <c r="Q55">
        <f t="shared" si="8"/>
        <v>-0.89539298859975247</v>
      </c>
      <c r="R55">
        <f t="shared" si="2"/>
        <v>-5.9738943697771276</v>
      </c>
    </row>
    <row r="56" spans="8:18" x14ac:dyDescent="0.25">
      <c r="H56" s="22">
        <f>H55+$E$8</f>
        <v>0.50000000000000022</v>
      </c>
      <c r="I56" s="15">
        <f t="shared" si="0"/>
        <v>33.579653075530743</v>
      </c>
      <c r="J56">
        <f t="shared" si="9"/>
        <v>33.785025657010657</v>
      </c>
      <c r="K56">
        <f t="shared" si="10"/>
        <v>49.184081751933135</v>
      </c>
      <c r="M56" s="22">
        <f>M55+$E$8</f>
        <v>0.50000000000000022</v>
      </c>
      <c r="N56">
        <f t="shared" si="6"/>
        <v>49.097156991459372</v>
      </c>
      <c r="O56">
        <f t="shared" si="1"/>
        <v>0.90284300854062849</v>
      </c>
      <c r="P56">
        <f t="shared" si="7"/>
        <v>2.0932661159983335</v>
      </c>
      <c r="Q56">
        <f t="shared" si="8"/>
        <v>-0.88647440412117362</v>
      </c>
      <c r="R56">
        <f t="shared" si="2"/>
        <v>-5.9744887609955004</v>
      </c>
    </row>
    <row r="57" spans="8:18" x14ac:dyDescent="0.25">
      <c r="H57" s="22">
        <f t="shared" si="3"/>
        <v>0.51000000000000023</v>
      </c>
      <c r="I57" s="15">
        <f t="shared" si="0"/>
        <v>33.941292971019138</v>
      </c>
      <c r="J57">
        <f t="shared" si="9"/>
        <v>34.146133710761866</v>
      </c>
      <c r="K57">
        <f t="shared" si="10"/>
        <v>49.202252280257582</v>
      </c>
      <c r="M57" s="22">
        <f t="shared" si="5"/>
        <v>0.51000000000000023</v>
      </c>
      <c r="N57">
        <f t="shared" si="6"/>
        <v>49.105933970500985</v>
      </c>
      <c r="O57">
        <f t="shared" si="1"/>
        <v>0.89406602949901526</v>
      </c>
      <c r="P57">
        <f t="shared" si="7"/>
        <v>2.1022506611885317</v>
      </c>
      <c r="Q57">
        <f t="shared" si="8"/>
        <v>-0.87769790416132309</v>
      </c>
      <c r="R57">
        <f t="shared" si="2"/>
        <v>-5.9750794232918674</v>
      </c>
    </row>
    <row r="58" spans="8:18" x14ac:dyDescent="0.25">
      <c r="H58" s="22">
        <f t="shared" si="3"/>
        <v>0.52000000000000024</v>
      </c>
      <c r="I58" s="15">
        <f t="shared" si="0"/>
        <v>34.29496814964677</v>
      </c>
      <c r="J58">
        <f t="shared" si="9"/>
        <v>34.499199875347806</v>
      </c>
      <c r="K58">
        <f t="shared" si="10"/>
        <v>49.220018150271756</v>
      </c>
      <c r="M58" s="22">
        <f t="shared" si="5"/>
        <v>0.52000000000000024</v>
      </c>
      <c r="N58">
        <f t="shared" si="6"/>
        <v>49.114624451161916</v>
      </c>
      <c r="O58">
        <f t="shared" si="1"/>
        <v>0.88537554883808411</v>
      </c>
      <c r="P58">
        <f t="shared" si="7"/>
        <v>2.111147869080217</v>
      </c>
      <c r="Q58">
        <f t="shared" si="8"/>
        <v>-0.86904806609311436</v>
      </c>
      <c r="R58">
        <f t="shared" si="2"/>
        <v>-5.97566587451474</v>
      </c>
    </row>
    <row r="59" spans="8:18" x14ac:dyDescent="0.25">
      <c r="H59" s="22">
        <f t="shared" si="3"/>
        <v>0.53000000000000025</v>
      </c>
      <c r="I59" s="15">
        <f t="shared" si="0"/>
        <v>34.64085402545247</v>
      </c>
      <c r="J59">
        <f t="shared" si="9"/>
        <v>34.844403243925427</v>
      </c>
      <c r="K59">
        <f t="shared" si="10"/>
        <v>49.237388373730568</v>
      </c>
      <c r="M59" s="22">
        <f t="shared" si="5"/>
        <v>0.53000000000000025</v>
      </c>
      <c r="N59">
        <f t="shared" si="6"/>
        <v>49.123229582906241</v>
      </c>
      <c r="O59">
        <f t="shared" si="1"/>
        <v>0.87677041709375914</v>
      </c>
      <c r="P59">
        <f t="shared" si="7"/>
        <v>2.1199585989098764</v>
      </c>
      <c r="Q59">
        <f t="shared" si="8"/>
        <v>-0.86051317443249786</v>
      </c>
      <c r="R59">
        <f t="shared" si="2"/>
        <v>-5.9762477685186211</v>
      </c>
    </row>
    <row r="60" spans="8:18" x14ac:dyDescent="0.25">
      <c r="H60" s="22">
        <f t="shared" si="3"/>
        <v>0.54000000000000026</v>
      </c>
      <c r="I60" s="15">
        <f t="shared" si="0"/>
        <v>34.979122149175801</v>
      </c>
      <c r="J60">
        <f t="shared" si="9"/>
        <v>35.181918921240722</v>
      </c>
      <c r="K60">
        <f t="shared" si="10"/>
        <v>49.254371761696845</v>
      </c>
      <c r="M60" s="22">
        <f t="shared" si="5"/>
        <v>0.54000000000000026</v>
      </c>
      <c r="N60">
        <f t="shared" si="6"/>
        <v>49.131750425742581</v>
      </c>
      <c r="O60">
        <f t="shared" si="1"/>
        <v>0.868249574257419</v>
      </c>
      <c r="P60">
        <f t="shared" si="7"/>
        <v>2.1286836988666322</v>
      </c>
      <c r="Q60">
        <f t="shared" si="8"/>
        <v>-0.85208428363401367</v>
      </c>
      <c r="R60">
        <f t="shared" si="2"/>
        <v>-5.9768248605754222</v>
      </c>
    </row>
    <row r="61" spans="8:18" x14ac:dyDescent="0.25">
      <c r="H61" s="22">
        <f t="shared" si="3"/>
        <v>0.55000000000000027</v>
      </c>
      <c r="I61" s="15">
        <f t="shared" si="0"/>
        <v>35.309940293341874</v>
      </c>
      <c r="J61">
        <f t="shared" si="9"/>
        <v>35.511918112450786</v>
      </c>
      <c r="K61">
        <f t="shared" si="10"/>
        <v>49.270976929010722</v>
      </c>
      <c r="M61" s="22">
        <f t="shared" si="5"/>
        <v>0.55000000000000027</v>
      </c>
      <c r="N61">
        <f t="shared" si="6"/>
        <v>49.14018797092573</v>
      </c>
      <c r="O61">
        <f t="shared" si="1"/>
        <v>0.8598120290742699</v>
      </c>
      <c r="P61">
        <f t="shared" si="7"/>
        <v>2.1373240068832908</v>
      </c>
      <c r="Q61">
        <f t="shared" si="8"/>
        <v>-0.84375451831490977</v>
      </c>
      <c r="R61">
        <f t="shared" si="2"/>
        <v>-5.9773969815488233</v>
      </c>
    </row>
    <row r="62" spans="8:18" x14ac:dyDescent="0.25">
      <c r="H62" s="22">
        <f t="shared" si="3"/>
        <v>0.56000000000000028</v>
      </c>
      <c r="I62" s="15">
        <f t="shared" si="0"/>
        <v>35.633472535472364</v>
      </c>
      <c r="J62">
        <f t="shared" si="9"/>
        <v>35.834568209967777</v>
      </c>
      <c r="K62">
        <f t="shared" si="10"/>
        <v>49.287212298659547</v>
      </c>
      <c r="M62" s="22">
        <f t="shared" si="5"/>
        <v>0.56000000000000028</v>
      </c>
      <c r="N62">
        <f t="shared" si="6"/>
        <v>49.148543156432979</v>
      </c>
      <c r="O62">
        <f t="shared" si="1"/>
        <v>0.85145684356702134</v>
      </c>
      <c r="P62">
        <f t="shared" si="7"/>
        <v>2.1458803512464972</v>
      </c>
      <c r="Q62">
        <f t="shared" si="8"/>
        <v>-0.83551855072485637</v>
      </c>
      <c r="R62">
        <f t="shared" si="2"/>
        <v>-5.97796401861254</v>
      </c>
    </row>
    <row r="63" spans="8:18" x14ac:dyDescent="0.25">
      <c r="H63" s="22">
        <f t="shared" si="3"/>
        <v>0.57000000000000028</v>
      </c>
      <c r="I63" s="15">
        <f t="shared" si="0"/>
        <v>35.949879339463862</v>
      </c>
      <c r="J63">
        <f t="shared" si="9"/>
        <v>36.150032878368911</v>
      </c>
      <c r="K63">
        <f t="shared" si="10"/>
        <v>49.303086106050436</v>
      </c>
      <c r="M63" s="22">
        <f t="shared" si="5"/>
        <v>0.57000000000000028</v>
      </c>
      <c r="N63">
        <f t="shared" si="6"/>
        <v>49.156816878538663</v>
      </c>
      <c r="O63">
        <f t="shared" si="1"/>
        <v>0.84318312146133678</v>
      </c>
      <c r="P63">
        <f t="shared" si="7"/>
        <v>2.154353551071639</v>
      </c>
      <c r="Q63">
        <f t="shared" si="8"/>
        <v>-0.82737221056845556</v>
      </c>
      <c r="R63">
        <f t="shared" si="2"/>
        <v>-5.9785259008545824</v>
      </c>
    </row>
    <row r="64" spans="8:18" x14ac:dyDescent="0.25">
      <c r="H64" s="22">
        <f t="shared" si="3"/>
        <v>0.58000000000000029</v>
      </c>
      <c r="I64" s="15">
        <f t="shared" si="0"/>
        <v>36.259317635173915</v>
      </c>
      <c r="J64">
        <f t="shared" si="9"/>
        <v>36.458472137415463</v>
      </c>
      <c r="K64">
        <f t="shared" si="10"/>
        <v>49.318606403187701</v>
      </c>
      <c r="M64" s="22">
        <f t="shared" si="5"/>
        <v>0.58000000000000029</v>
      </c>
      <c r="N64">
        <f t="shared" si="6"/>
        <v>49.165010000475235</v>
      </c>
      <c r="O64">
        <f t="shared" si="1"/>
        <v>0.83498999952476538</v>
      </c>
      <c r="P64">
        <f t="shared" si="7"/>
        <v>2.1627444166765692</v>
      </c>
      <c r="Q64">
        <f t="shared" si="8"/>
        <v>-0.81931219365714014</v>
      </c>
      <c r="R64">
        <f t="shared" si="2"/>
        <v>-5.9790825885295265</v>
      </c>
    </row>
    <row r="65" spans="8:18" x14ac:dyDescent="0.25">
      <c r="H65" s="22">
        <f t="shared" si="3"/>
        <v>0.5900000000000003</v>
      </c>
      <c r="I65" s="15">
        <f t="shared" si="0"/>
        <v>36.561940896254349</v>
      </c>
      <c r="J65">
        <f t="shared" si="9"/>
        <v>36.760042443222936</v>
      </c>
      <c r="K65">
        <f t="shared" si="10"/>
        <v>49.333781062757225</v>
      </c>
      <c r="M65" s="22">
        <f t="shared" si="5"/>
        <v>0.5900000000000003</v>
      </c>
      <c r="N65">
        <f t="shared" si="6"/>
        <v>49.17312335891868</v>
      </c>
      <c r="O65">
        <f t="shared" si="1"/>
        <v>0.82687664108131997</v>
      </c>
      <c r="P65">
        <f t="shared" si="7"/>
        <v>2.1710537498795999</v>
      </c>
      <c r="Q65">
        <f t="shared" si="8"/>
        <v>-0.81133584434454065</v>
      </c>
      <c r="R65">
        <f t="shared" si="2"/>
        <v>-5.9796340650349489</v>
      </c>
    </row>
    <row r="66" spans="8:18" x14ac:dyDescent="0.25">
      <c r="H66" s="22">
        <f t="shared" si="3"/>
        <v>0.60000000000000031</v>
      </c>
      <c r="I66" s="15">
        <f t="shared" si="0"/>
        <v>36.857899216270319</v>
      </c>
      <c r="J66">
        <f t="shared" si="9"/>
        <v>37.05489676762361</v>
      </c>
      <c r="K66">
        <f t="shared" si="10"/>
        <v>49.348617782119902</v>
      </c>
      <c r="M66" s="22">
        <f t="shared" si="5"/>
        <v>0.60000000000000031</v>
      </c>
      <c r="N66">
        <f t="shared" si="6"/>
        <v>49.181157768849395</v>
      </c>
      <c r="O66">
        <f t="shared" si="1"/>
        <v>0.8188422311506045</v>
      </c>
      <c r="P66">
        <f t="shared" si="7"/>
        <v>2.1792823442407596</v>
      </c>
      <c r="Q66">
        <f t="shared" si="8"/>
        <v>-0.80344099307154693</v>
      </c>
      <c r="R66">
        <f t="shared" si="2"/>
        <v>-5.9801803309212973</v>
      </c>
    </row>
    <row r="67" spans="8:18" x14ac:dyDescent="0.25">
      <c r="H67" s="22">
        <f t="shared" si="3"/>
        <v>0.61000000000000032</v>
      </c>
      <c r="I67" s="15">
        <f t="shared" si="0"/>
        <v>37.147339383143013</v>
      </c>
      <c r="J67">
        <f t="shared" si="9"/>
        <v>37.34318467576162</v>
      </c>
      <c r="K67">
        <f t="shared" si="10"/>
        <v>49.363124087216121</v>
      </c>
      <c r="M67" s="22">
        <f t="shared" si="5"/>
        <v>0.61000000000000032</v>
      </c>
      <c r="N67">
        <f t="shared" si="6"/>
        <v>49.189114027199658</v>
      </c>
      <c r="O67">
        <f t="shared" si="1"/>
        <v>0.81088597280034236</v>
      </c>
      <c r="P67">
        <f t="shared" si="7"/>
        <v>2.1874309852605145</v>
      </c>
      <c r="Q67">
        <f t="shared" si="8"/>
        <v>-0.79562583502621465</v>
      </c>
      <c r="R67">
        <f t="shared" si="2"/>
        <v>-5.9807213994211894</v>
      </c>
    </row>
    <row r="68" spans="8:18" x14ac:dyDescent="0.25">
      <c r="H68" s="22">
        <f t="shared" si="3"/>
        <v>0.62000000000000033</v>
      </c>
      <c r="I68" s="15">
        <f t="shared" si="0"/>
        <v>37.430404951952738</v>
      </c>
      <c r="J68">
        <f t="shared" si="9"/>
        <v>37.625052401960048</v>
      </c>
      <c r="K68">
        <f t="shared" si="10"/>
        <v>49.377307336383325</v>
      </c>
      <c r="M68" s="22">
        <f t="shared" si="5"/>
        <v>0.62000000000000033</v>
      </c>
      <c r="N68">
        <f t="shared" si="6"/>
        <v>49.196992915595203</v>
      </c>
      <c r="O68">
        <f t="shared" si="1"/>
        <v>0.80300708440479696</v>
      </c>
      <c r="P68">
        <f t="shared" si="7"/>
        <v>2.1955004505465401</v>
      </c>
      <c r="Q68">
        <f t="shared" si="8"/>
        <v>-0.78788883955454025</v>
      </c>
      <c r="R68">
        <f t="shared" si="2"/>
        <v>-5.9812572931115833</v>
      </c>
    </row>
    <row r="69" spans="8:18" x14ac:dyDescent="0.25">
      <c r="H69" s="22">
        <f t="shared" si="3"/>
        <v>0.63000000000000034</v>
      </c>
      <c r="I69" s="15">
        <f t="shared" si="0"/>
        <v>37.707236316138676</v>
      </c>
      <c r="J69">
        <f t="shared" si="9"/>
        <v>37.900642923898403</v>
      </c>
      <c r="K69">
        <f t="shared" si="10"/>
        <v>49.391174724088508</v>
      </c>
      <c r="M69" s="22">
        <f t="shared" si="5"/>
        <v>0.63000000000000034</v>
      </c>
      <c r="N69">
        <f t="shared" si="6"/>
        <v>49.204795202419916</v>
      </c>
      <c r="O69">
        <f t="shared" si="1"/>
        <v>0.79520479758008378</v>
      </c>
      <c r="P69">
        <f t="shared" si="7"/>
        <v>2.2034915099564647</v>
      </c>
      <c r="Q69">
        <f t="shared" si="8"/>
        <v>-0.78022868247131782</v>
      </c>
      <c r="R69">
        <f t="shared" si="2"/>
        <v>-5.9817880414236706</v>
      </c>
    </row>
    <row r="70" spans="8:18" x14ac:dyDescent="0.25">
      <c r="H70" s="22">
        <f t="shared" si="3"/>
        <v>0.64000000000000035</v>
      </c>
      <c r="I70" s="15">
        <f t="shared" si="0"/>
        <v>37.977970777130508</v>
      </c>
      <c r="J70">
        <f t="shared" si="9"/>
        <v>38.170096035138201</v>
      </c>
      <c r="K70">
        <f t="shared" si="10"/>
        <v>49.404733284577624</v>
      </c>
      <c r="M70" s="22">
        <f t="shared" si="5"/>
        <v>0.64000000000000035</v>
      </c>
      <c r="N70">
        <f t="shared" si="6"/>
        <v>49.212521644375215</v>
      </c>
      <c r="O70">
        <f t="shared" si="1"/>
        <v>0.78747835562478485</v>
      </c>
      <c r="P70">
        <f t="shared" si="7"/>
        <v>2.2114049257224893</v>
      </c>
      <c r="Q70">
        <f t="shared" si="8"/>
        <v>-0.77264419552989239</v>
      </c>
      <c r="R70">
        <f t="shared" si="2"/>
        <v>-5.9823136787839504</v>
      </c>
    </row>
    <row r="71" spans="8:18" x14ac:dyDescent="0.25">
      <c r="H71" s="22">
        <f t="shared" si="3"/>
        <v>0.65000000000000036</v>
      </c>
      <c r="I71" s="15">
        <f t="shared" ref="I71:I134" si="11">DEGREES(-2*$E$5/$C$6*$C$9/$C$8*$C$18*(1-EXP(-$C$20*H71)))</f>
        <v>38.242742612446499</v>
      </c>
      <c r="J71">
        <f t="shared" si="9"/>
        <v>38.433548416033389</v>
      </c>
      <c r="K71">
        <f t="shared" si="10"/>
        <v>49.417989895443739</v>
      </c>
      <c r="M71" s="22">
        <f t="shared" si="5"/>
        <v>0.65000000000000036</v>
      </c>
      <c r="N71">
        <f t="shared" si="6"/>
        <v>49.220172987661734</v>
      </c>
      <c r="O71">
        <f t="shared" ref="O71:O134" si="12">$E$7-N71</f>
        <v>0.77982701233826646</v>
      </c>
      <c r="P71">
        <f t="shared" si="7"/>
        <v>2.2192414525623043</v>
      </c>
      <c r="Q71">
        <f t="shared" si="8"/>
        <v>-0.76513432865183972</v>
      </c>
      <c r="R71">
        <f t="shared" ref="R71:R134" si="13">$C$34*O71+$C$35*P71+$C$36*Q71</f>
        <v>-5.9828342432281048</v>
      </c>
    </row>
    <row r="72" spans="8:18" x14ac:dyDescent="0.25">
      <c r="H72" s="22">
        <f t="shared" ref="H72:H135" si="14">H71+$E$8</f>
        <v>0.66000000000000036</v>
      </c>
      <c r="I72" s="15">
        <f t="shared" si="11"/>
        <v>38.501683142291746</v>
      </c>
      <c r="J72">
        <f t="shared" si="9"/>
        <v>38.691133703061588</v>
      </c>
      <c r="K72">
        <f t="shared" si="10"/>
        <v>49.430951281115661</v>
      </c>
      <c r="M72" s="22">
        <f t="shared" ref="M72:M135" si="15">M71+$E$8</f>
        <v>0.66000000000000036</v>
      </c>
      <c r="N72">
        <f t="shared" ref="N72:N135" si="16">N71+$E$8*DEGREES($E$6*$C$5*$C$6^2*$E$5/(4*$C$7)*$C$8*RADIANS(N71)+$E$6*$C$5*$C$6*$E$5^2/(2*$C$7)*$C$9*RADIANS(R71))</f>
        <v>49.227749968879003</v>
      </c>
      <c r="O72">
        <f t="shared" si="12"/>
        <v>0.77225003112099699</v>
      </c>
      <c r="P72">
        <f t="shared" ref="P72:P135" si="17">P71+(O72+O71)*$E$8/2</f>
        <v>2.2270018377796008</v>
      </c>
      <c r="Q72">
        <f t="shared" ref="Q72:Q135" si="18">(O72-O71)/$E$8</f>
        <v>-0.75769812172694628</v>
      </c>
      <c r="R72">
        <f t="shared" si="13"/>
        <v>-5.9833497753666567</v>
      </c>
    </row>
    <row r="73" spans="8:18" x14ac:dyDescent="0.25">
      <c r="H73" s="22">
        <f t="shared" si="14"/>
        <v>0.67000000000000037</v>
      </c>
      <c r="I73" s="15">
        <f t="shared" si="11"/>
        <v>38.754920794689788</v>
      </c>
      <c r="J73">
        <f t="shared" ref="J73:J136" si="19">J72+$E$8*DEGREES($E$6*$C$5*$C$6^2*$E$5/(4*$C$7)*$C$8*RADIANS(J72) +$E$6*$C$5*$C$6*$E$5^2/(2*$C$7)*$C$9*$C$18)</f>
        <v>38.942982556611312</v>
      </c>
      <c r="K73">
        <f t="shared" si="10"/>
        <v>49.443624016268942</v>
      </c>
      <c r="M73" s="22">
        <f t="shared" si="15"/>
        <v>0.67000000000000037</v>
      </c>
      <c r="N73">
        <f t="shared" si="16"/>
        <v>49.235253315714289</v>
      </c>
      <c r="O73">
        <f t="shared" si="12"/>
        <v>0.76474668428571135</v>
      </c>
      <c r="P73">
        <f t="shared" si="17"/>
        <v>2.2346868213566342</v>
      </c>
      <c r="Q73">
        <f t="shared" si="18"/>
        <v>-0.75033468352856403</v>
      </c>
      <c r="R73">
        <f t="shared" si="13"/>
        <v>-5.9838603176141199</v>
      </c>
    </row>
    <row r="74" spans="8:18" x14ac:dyDescent="0.25">
      <c r="H74" s="22">
        <f t="shared" si="14"/>
        <v>0.68000000000000038</v>
      </c>
      <c r="I74" s="15">
        <f t="shared" si="11"/>
        <v>39.002581169179635</v>
      </c>
      <c r="J74">
        <f t="shared" si="19"/>
        <v>39.189222727259597</v>
      </c>
      <c r="K74">
        <f t="shared" si="10"/>
        <v>49.456014529160868</v>
      </c>
      <c r="M74" s="22">
        <f t="shared" si="15"/>
        <v>0.68000000000000038</v>
      </c>
      <c r="N74">
        <f t="shared" si="16"/>
        <v>49.242683747473855</v>
      </c>
      <c r="O74">
        <f t="shared" si="12"/>
        <v>0.75731625252614521</v>
      </c>
      <c r="P74">
        <f t="shared" si="17"/>
        <v>2.2422971360406936</v>
      </c>
      <c r="Q74">
        <f t="shared" si="18"/>
        <v>-0.74304317595661473</v>
      </c>
      <c r="R74">
        <f t="shared" si="13"/>
        <v>-5.9843659136145453</v>
      </c>
    </row>
    <row r="75" spans="8:18" x14ac:dyDescent="0.25">
      <c r="H75" s="22">
        <f t="shared" si="14"/>
        <v>0.69000000000000039</v>
      </c>
      <c r="I75" s="15">
        <f t="shared" si="11"/>
        <v>39.244787099109978</v>
      </c>
      <c r="J75">
        <f t="shared" si="19"/>
        <v>39.429979120573591</v>
      </c>
      <c r="K75">
        <f t="shared" si="10"/>
        <v>49.468129104891204</v>
      </c>
      <c r="M75" s="22">
        <f t="shared" si="15"/>
        <v>0.69000000000000039</v>
      </c>
      <c r="N75">
        <f t="shared" si="16"/>
        <v>49.250041975496423</v>
      </c>
      <c r="O75">
        <f t="shared" si="12"/>
        <v>0.74995802450357729</v>
      </c>
      <c r="P75">
        <f t="shared" si="17"/>
        <v>2.249833507425842</v>
      </c>
      <c r="Q75">
        <f t="shared" si="18"/>
        <v>-0.73582280225679142</v>
      </c>
      <c r="R75">
        <f t="shared" si="13"/>
        <v>-5.9848666078137027</v>
      </c>
    </row>
    <row r="76" spans="8:18" x14ac:dyDescent="0.25">
      <c r="H76" s="22">
        <f t="shared" si="14"/>
        <v>0.7000000000000004</v>
      </c>
      <c r="I76" s="15">
        <f t="shared" si="11"/>
        <v>39.481658712561526</v>
      </c>
      <c r="J76">
        <f t="shared" si="19"/>
        <v>39.665373860469039</v>
      </c>
      <c r="K76">
        <f t="shared" si="10"/>
        <v>49.479973888590337</v>
      </c>
      <c r="M76" s="22">
        <f t="shared" si="15"/>
        <v>0.7000000000000004</v>
      </c>
      <c r="N76">
        <f t="shared" si="16"/>
        <v>49.257328703478535</v>
      </c>
      <c r="O76">
        <f t="shared" si="12"/>
        <v>0.7426712965214648</v>
      </c>
      <c r="P76">
        <f t="shared" si="17"/>
        <v>2.2572966540309674</v>
      </c>
      <c r="Q76">
        <f t="shared" si="18"/>
        <v>-0.72867279821124953</v>
      </c>
      <c r="R76">
        <f t="shared" si="13"/>
        <v>-5.9853624451406393</v>
      </c>
    </row>
    <row r="77" spans="8:18" x14ac:dyDescent="0.25">
      <c r="H77" s="22">
        <f t="shared" si="14"/>
        <v>0.71000000000000041</v>
      </c>
      <c r="I77" s="15">
        <f t="shared" si="11"/>
        <v>39.713313491927487</v>
      </c>
      <c r="J77">
        <f t="shared" si="19"/>
        <v>39.895526351157741</v>
      </c>
      <c r="K77">
        <f t="shared" si="10"/>
        <v>49.491554888536363</v>
      </c>
      <c r="M77" s="22">
        <f t="shared" si="15"/>
        <v>0.71000000000000041</v>
      </c>
      <c r="N77">
        <f t="shared" si="16"/>
        <v>49.264544627733876</v>
      </c>
      <c r="O77">
        <f t="shared" si="12"/>
        <v>0.73545537226612367</v>
      </c>
      <c r="P77">
        <f t="shared" si="17"/>
        <v>2.2646872873749051</v>
      </c>
      <c r="Q77">
        <f t="shared" si="18"/>
        <v>-0.72159242553411218</v>
      </c>
      <c r="R77">
        <f t="shared" si="13"/>
        <v>-5.9858534707713753</v>
      </c>
    </row>
    <row r="78" spans="8:18" x14ac:dyDescent="0.25">
      <c r="H78" s="22">
        <f t="shared" si="14"/>
        <v>0.72000000000000042</v>
      </c>
      <c r="I78" s="15">
        <f t="shared" si="11"/>
        <v>39.939866332181893</v>
      </c>
      <c r="J78">
        <f t="shared" si="19"/>
        <v>40.120553337715471</v>
      </c>
      <c r="K78">
        <f t="shared" si="10"/>
        <v>49.502877979202822</v>
      </c>
      <c r="M78" s="22">
        <f t="shared" si="15"/>
        <v>0.72000000000000042</v>
      </c>
      <c r="N78">
        <f t="shared" si="16"/>
        <v>49.271690437403272</v>
      </c>
      <c r="O78">
        <f t="shared" si="12"/>
        <v>0.72830956259672774</v>
      </c>
      <c r="P78">
        <f t="shared" si="17"/>
        <v>2.2720061120492194</v>
      </c>
      <c r="Q78">
        <f t="shared" si="18"/>
        <v>-0.71458096693959305</v>
      </c>
      <c r="R78">
        <f t="shared" si="13"/>
        <v>-5.9863397299531025</v>
      </c>
    </row>
    <row r="79" spans="8:18" x14ac:dyDescent="0.25">
      <c r="H79" s="22">
        <f t="shared" si="14"/>
        <v>0.73000000000000043</v>
      </c>
      <c r="I79" s="15">
        <f t="shared" si="11"/>
        <v>40.16142959786464</v>
      </c>
      <c r="J79">
        <f t="shared" si="19"/>
        <v>40.340568965301024</v>
      </c>
      <c r="K79">
        <f t="shared" si="10"/>
        <v>49.513948904238518</v>
      </c>
      <c r="M79" s="22">
        <f t="shared" si="15"/>
        <v>0.73000000000000043</v>
      </c>
      <c r="N79">
        <f t="shared" si="16"/>
        <v>49.278766814627545</v>
      </c>
      <c r="O79">
        <f t="shared" si="12"/>
        <v>0.72123318537245495</v>
      </c>
      <c r="P79">
        <f t="shared" si="17"/>
        <v>2.2792538257890653</v>
      </c>
      <c r="Q79">
        <f t="shared" si="18"/>
        <v>-0.70763772242727896</v>
      </c>
      <c r="R79">
        <f t="shared" si="13"/>
        <v>-5.986821267874495</v>
      </c>
    </row>
    <row r="80" spans="8:18" x14ac:dyDescent="0.25">
      <c r="H80" s="22">
        <f t="shared" si="14"/>
        <v>0.74000000000000044</v>
      </c>
      <c r="I80" s="15">
        <f t="shared" si="11"/>
        <v>40.378113178811482</v>
      </c>
      <c r="J80">
        <f t="shared" si="19"/>
        <v>40.555684837056461</v>
      </c>
      <c r="K80">
        <f t="shared" si="10"/>
        <v>49.524773279380987</v>
      </c>
      <c r="M80" s="22">
        <f t="shared" si="15"/>
        <v>0.74000000000000044</v>
      </c>
      <c r="N80">
        <f t="shared" si="16"/>
        <v>49.285774434692613</v>
      </c>
      <c r="O80">
        <f t="shared" si="12"/>
        <v>0.71422556530738746</v>
      </c>
      <c r="P80">
        <f t="shared" si="17"/>
        <v>2.2864311195424647</v>
      </c>
      <c r="Q80">
        <f t="shared" si="18"/>
        <v>-0.70076200650674991</v>
      </c>
      <c r="R80">
        <f t="shared" si="13"/>
        <v>-5.9872981295695693</v>
      </c>
    </row>
    <row r="81" spans="8:18" x14ac:dyDescent="0.25">
      <c r="H81" s="22">
        <f t="shared" si="14"/>
        <v>0.75000000000000044</v>
      </c>
      <c r="I81" s="15">
        <f t="shared" si="11"/>
        <v>40.590024544656636</v>
      </c>
      <c r="J81">
        <f t="shared" si="19"/>
        <v>40.766010070717904</v>
      </c>
      <c r="K81">
        <f t="shared" si="10"/>
        <v>49.535356595305103</v>
      </c>
      <c r="M81" s="22">
        <f t="shared" si="15"/>
        <v>0.75000000000000044</v>
      </c>
      <c r="N81">
        <f t="shared" si="16"/>
        <v>49.29271396615362</v>
      </c>
      <c r="O81">
        <f t="shared" si="12"/>
        <v>0.70728603384637978</v>
      </c>
      <c r="P81">
        <f t="shared" si="17"/>
        <v>2.2935386775382334</v>
      </c>
      <c r="Q81">
        <f t="shared" si="18"/>
        <v>-0.69395314610076753</v>
      </c>
      <c r="R81">
        <f t="shared" si="13"/>
        <v>-5.987770359847211</v>
      </c>
    </row>
    <row r="82" spans="8:18" x14ac:dyDescent="0.25">
      <c r="H82" s="22">
        <f t="shared" si="14"/>
        <v>0.76000000000000045</v>
      </c>
      <c r="I82" s="15">
        <f t="shared" si="11"/>
        <v>40.797268798135086</v>
      </c>
      <c r="J82">
        <f t="shared" si="19"/>
        <v>40.971651353965633</v>
      </c>
      <c r="K82">
        <f t="shared" si="10"/>
        <v>49.545704220408204</v>
      </c>
      <c r="M82" s="22">
        <f t="shared" si="15"/>
        <v>0.76000000000000045</v>
      </c>
      <c r="N82">
        <f t="shared" si="16"/>
        <v>49.299586070943306</v>
      </c>
      <c r="O82">
        <f t="shared" si="12"/>
        <v>0.70041392905669397</v>
      </c>
      <c r="P82">
        <f t="shared" si="17"/>
        <v>2.3005771773527486</v>
      </c>
      <c r="Q82">
        <f t="shared" si="18"/>
        <v>-0.68721047896858067</v>
      </c>
      <c r="R82">
        <f t="shared" si="13"/>
        <v>-5.9882380032395135</v>
      </c>
    </row>
    <row r="83" spans="8:18" x14ac:dyDescent="0.25">
      <c r="H83" s="22">
        <f t="shared" si="14"/>
        <v>0.77000000000000046</v>
      </c>
      <c r="I83" s="15">
        <f t="shared" si="11"/>
        <v>40.999948727210807</v>
      </c>
      <c r="J83">
        <f t="shared" si="19"/>
        <v>41.172712998541492</v>
      </c>
      <c r="K83">
        <f t="shared" si="10"/>
        <v>49.555821403533237</v>
      </c>
      <c r="M83" s="22">
        <f t="shared" si="15"/>
        <v>0.77000000000000046</v>
      </c>
      <c r="N83">
        <f t="shared" si="16"/>
        <v>49.3063914044684</v>
      </c>
      <c r="O83">
        <f t="shared" si="12"/>
        <v>0.69360859553160026</v>
      </c>
      <c r="P83">
        <f t="shared" si="17"/>
        <v>2.3075472899756901</v>
      </c>
      <c r="Q83">
        <f t="shared" si="18"/>
        <v>-0.68053335250937153</v>
      </c>
      <c r="R83">
        <f t="shared" si="13"/>
        <v>-5.9887011039643934</v>
      </c>
    </row>
    <row r="84" spans="8:18" x14ac:dyDescent="0.25">
      <c r="H84" s="22">
        <f t="shared" si="14"/>
        <v>0.78000000000000047</v>
      </c>
      <c r="I84" s="15">
        <f t="shared" si="11"/>
        <v>41.198164856057112</v>
      </c>
      <c r="J84">
        <f t="shared" si="19"/>
        <v>41.369296993161143</v>
      </c>
      <c r="K84">
        <f t="shared" si="10"/>
        <v>49.565713276631229</v>
      </c>
      <c r="M84" s="22">
        <f t="shared" si="15"/>
        <v>0.78000000000000047</v>
      </c>
      <c r="N84">
        <f t="shared" si="16"/>
        <v>49.313130615697027</v>
      </c>
      <c r="O84">
        <f t="shared" si="12"/>
        <v>0.68686938430297317</v>
      </c>
      <c r="P84">
        <f t="shared" si="17"/>
        <v>2.3144496798748628</v>
      </c>
      <c r="Q84">
        <f t="shared" si="18"/>
        <v>-0.67392112286270844</v>
      </c>
      <c r="R84">
        <f t="shared" si="13"/>
        <v>-5.9891597058984178</v>
      </c>
    </row>
    <row r="85" spans="8:18" x14ac:dyDescent="0.25">
      <c r="H85" s="22">
        <f t="shared" si="14"/>
        <v>0.79000000000000048</v>
      </c>
      <c r="I85" s="15">
        <f t="shared" si="11"/>
        <v>41.392015494914084</v>
      </c>
      <c r="J85">
        <f t="shared" si="19"/>
        <v>41.561503055247933</v>
      </c>
      <c r="K85">
        <f t="shared" ref="K85:K148" si="20">K84+$E$8*DEGREES($E$6*$C$5*$C$6^2*$E$5/(4*$C$7)*$C$8*RADIANS(K84) +$E$6*$C$5*$C$6*$E$5^2/(2*$C$7)*$C$9*$C$18)</f>
        <v>49.575384857364469</v>
      </c>
      <c r="M85" s="22">
        <f t="shared" si="15"/>
        <v>0.79000000000000048</v>
      </c>
      <c r="N85">
        <f t="shared" si="16"/>
        <v>49.319804347239099</v>
      </c>
      <c r="O85">
        <f t="shared" si="12"/>
        <v>0.68019565276090077</v>
      </c>
      <c r="P85">
        <f t="shared" si="17"/>
        <v>2.3212850050601821</v>
      </c>
      <c r="Q85">
        <f t="shared" si="18"/>
        <v>-0.6673731542072403</v>
      </c>
      <c r="R85">
        <f t="shared" si="13"/>
        <v>-5.9896138525580209</v>
      </c>
    </row>
    <row r="86" spans="8:18" x14ac:dyDescent="0.25">
      <c r="H86" s="22">
        <f t="shared" si="14"/>
        <v>0.80000000000000049</v>
      </c>
      <c r="I86" s="15">
        <f t="shared" si="11"/>
        <v>41.581596788848024</v>
      </c>
      <c r="J86">
        <f t="shared" si="19"/>
        <v>41.749428681514644</v>
      </c>
      <c r="K86">
        <f t="shared" si="20"/>
        <v>49.584841051651736</v>
      </c>
      <c r="M86" s="22">
        <f t="shared" si="15"/>
        <v>0.80000000000000049</v>
      </c>
      <c r="N86">
        <f t="shared" si="16"/>
        <v>49.326413235421484</v>
      </c>
      <c r="O86">
        <f t="shared" si="12"/>
        <v>0.67358676457851629</v>
      </c>
      <c r="P86">
        <f t="shared" si="17"/>
        <v>2.328053917146879</v>
      </c>
      <c r="Q86">
        <f t="shared" si="18"/>
        <v>-0.66088881823844758</v>
      </c>
      <c r="R86">
        <f t="shared" si="13"/>
        <v>-5.9900635870860217</v>
      </c>
    </row>
    <row r="87" spans="8:18" x14ac:dyDescent="0.25">
      <c r="H87" s="22">
        <f t="shared" si="14"/>
        <v>0.8100000000000005</v>
      </c>
      <c r="I87" s="15">
        <f t="shared" si="11"/>
        <v>41.767002765436949</v>
      </c>
      <c r="J87">
        <f t="shared" si="19"/>
        <v>41.93316919741882</v>
      </c>
      <c r="K87">
        <f t="shared" si="20"/>
        <v>49.594086656156826</v>
      </c>
      <c r="M87" s="22">
        <f t="shared" si="15"/>
        <v>0.8100000000000005</v>
      </c>
      <c r="N87">
        <f t="shared" si="16"/>
        <v>49.332957910359013</v>
      </c>
      <c r="O87">
        <f t="shared" si="12"/>
        <v>0.66704208964098655</v>
      </c>
      <c r="P87">
        <f t="shared" si="17"/>
        <v>2.3347570614179767</v>
      </c>
      <c r="Q87">
        <f t="shared" si="18"/>
        <v>-0.65446749375297486</v>
      </c>
      <c r="R87">
        <f t="shared" si="13"/>
        <v>-5.9905089522428669</v>
      </c>
    </row>
    <row r="88" spans="8:18" x14ac:dyDescent="0.25">
      <c r="H88" s="22">
        <f t="shared" si="14"/>
        <v>0.82000000000000051</v>
      </c>
      <c r="I88" s="15">
        <f t="shared" si="11"/>
        <v>41.948325381405965</v>
      </c>
      <c r="J88">
        <f t="shared" si="19"/>
        <v>42.11281780551667</v>
      </c>
      <c r="K88">
        <f t="shared" si="20"/>
        <v>49.603126360721653</v>
      </c>
      <c r="M88" s="22">
        <f t="shared" si="15"/>
        <v>0.82000000000000051</v>
      </c>
      <c r="N88">
        <f t="shared" si="16"/>
        <v>49.339438996022267</v>
      </c>
      <c r="O88">
        <f t="shared" si="12"/>
        <v>0.66056100397773321</v>
      </c>
      <c r="P88">
        <f t="shared" si="17"/>
        <v>2.3413950768860703</v>
      </c>
      <c r="Q88">
        <f t="shared" si="18"/>
        <v>-0.64810856632533387</v>
      </c>
      <c r="R88">
        <f t="shared" si="13"/>
        <v>-5.9909499904011003</v>
      </c>
    </row>
    <row r="89" spans="8:18" x14ac:dyDescent="0.25">
      <c r="H89" s="22">
        <f t="shared" si="14"/>
        <v>0.83000000000000052</v>
      </c>
      <c r="I89" s="15">
        <f t="shared" si="11"/>
        <v>42.12565456823549</v>
      </c>
      <c r="J89">
        <f t="shared" si="19"/>
        <v>42.288465632740184</v>
      </c>
      <c r="K89">
        <f t="shared" si="20"/>
        <v>49.611964750745187</v>
      </c>
      <c r="M89" s="22">
        <f t="shared" si="15"/>
        <v>0.83000000000000052</v>
      </c>
      <c r="N89">
        <f t="shared" si="16"/>
        <v>49.345857110302866</v>
      </c>
      <c r="O89">
        <f t="shared" si="12"/>
        <v>0.65414288969713397</v>
      </c>
      <c r="P89">
        <f t="shared" si="17"/>
        <v>2.3479685963544448</v>
      </c>
      <c r="Q89">
        <f t="shared" si="18"/>
        <v>-0.64181142805992408</v>
      </c>
      <c r="R89">
        <f t="shared" si="13"/>
        <v>-5.991386743541959</v>
      </c>
    </row>
    <row r="90" spans="8:18" x14ac:dyDescent="0.25">
      <c r="H90" s="22">
        <f t="shared" si="14"/>
        <v>0.84000000000000052</v>
      </c>
      <c r="I90" s="15">
        <f t="shared" si="11"/>
        <v>42.299078276765016</v>
      </c>
      <c r="J90">
        <f t="shared" si="19"/>
        <v>42.460201776621332</v>
      </c>
      <c r="K90">
        <f t="shared" si="20"/>
        <v>49.620606309509405</v>
      </c>
      <c r="M90" s="22">
        <f t="shared" si="15"/>
        <v>0.84000000000000052</v>
      </c>
      <c r="N90">
        <f t="shared" si="16"/>
        <v>49.352212865076652</v>
      </c>
      <c r="O90">
        <f t="shared" si="12"/>
        <v>0.64778713492334816</v>
      </c>
      <c r="P90">
        <f t="shared" si="17"/>
        <v>2.3544782464775471</v>
      </c>
      <c r="Q90">
        <f t="shared" si="18"/>
        <v>-0.63557547737858044</v>
      </c>
      <c r="R90">
        <f t="shared" si="13"/>
        <v>-5.9918192532542189</v>
      </c>
    </row>
    <row r="91" spans="8:18" x14ac:dyDescent="0.25">
      <c r="H91" s="22">
        <f t="shared" si="14"/>
        <v>0.85000000000000053</v>
      </c>
      <c r="I91" s="15">
        <f t="shared" si="11"/>
        <v>42.468682520814504</v>
      </c>
      <c r="J91">
        <f t="shared" si="19"/>
        <v>42.628113350486899</v>
      </c>
      <c r="K91">
        <f t="shared" si="20"/>
        <v>49.62905542045344</v>
      </c>
      <c r="M91" s="22">
        <f t="shared" si="15"/>
        <v>0.85000000000000053</v>
      </c>
      <c r="N91">
        <f t="shared" si="16"/>
        <v>49.358506866265245</v>
      </c>
      <c r="O91">
        <f t="shared" si="12"/>
        <v>0.64149313373475536</v>
      </c>
      <c r="P91">
        <f t="shared" si="17"/>
        <v>2.3609246478208377</v>
      </c>
      <c r="Q91">
        <f t="shared" si="18"/>
        <v>-0.62940011885928016</v>
      </c>
      <c r="R91">
        <f t="shared" si="13"/>
        <v>-5.9922475607340004</v>
      </c>
    </row>
    <row r="92" spans="8:18" x14ac:dyDescent="0.25">
      <c r="H92" s="22">
        <f t="shared" si="14"/>
        <v>0.86000000000000054</v>
      </c>
      <c r="I92" s="15">
        <f t="shared" si="11"/>
        <v>42.634551419845124</v>
      </c>
      <c r="J92">
        <f t="shared" si="19"/>
        <v>42.792285527646783</v>
      </c>
      <c r="K92">
        <f t="shared" si="20"/>
        <v>49.637316369397062</v>
      </c>
      <c r="M92" s="22">
        <f t="shared" si="15"/>
        <v>0.86000000000000054</v>
      </c>
      <c r="N92">
        <f t="shared" si="16"/>
        <v>49.364739713896242</v>
      </c>
      <c r="O92">
        <f t="shared" si="12"/>
        <v>0.63526028610375818</v>
      </c>
      <c r="P92">
        <f t="shared" si="17"/>
        <v>2.3673084149200303</v>
      </c>
      <c r="Q92">
        <f t="shared" si="18"/>
        <v>-0.62328476309971848</v>
      </c>
      <c r="R92">
        <f t="shared" si="13"/>
        <v>-5.9926717067855826</v>
      </c>
    </row>
    <row r="93" spans="8:18" x14ac:dyDescent="0.25">
      <c r="H93" s="22">
        <f t="shared" si="14"/>
        <v>0.87000000000000055</v>
      </c>
      <c r="I93" s="15">
        <f t="shared" si="11"/>
        <v>42.796767240680367</v>
      </c>
      <c r="J93">
        <f t="shared" si="19"/>
        <v>42.952801584598255</v>
      </c>
      <c r="K93">
        <f t="shared" si="20"/>
        <v>49.645393346714705</v>
      </c>
      <c r="M93" s="22">
        <f t="shared" si="15"/>
        <v>0.87000000000000055</v>
      </c>
      <c r="N93">
        <f t="shared" si="16"/>
        <v>49.37091200216215</v>
      </c>
      <c r="O93">
        <f t="shared" si="12"/>
        <v>0.62908799783784985</v>
      </c>
      <c r="P93">
        <f t="shared" si="17"/>
        <v>2.3736301563397384</v>
      </c>
      <c r="Q93">
        <f t="shared" si="18"/>
        <v>-0.61722882659083211</v>
      </c>
      <c r="R93">
        <f t="shared" si="13"/>
        <v>-5.9930917318233599</v>
      </c>
    </row>
    <row r="94" spans="8:18" x14ac:dyDescent="0.25">
      <c r="H94" s="22">
        <f t="shared" si="14"/>
        <v>0.88000000000000056</v>
      </c>
      <c r="I94" s="15">
        <f t="shared" si="11"/>
        <v>42.955410438308377</v>
      </c>
      <c r="J94">
        <f t="shared" si="19"/>
        <v>43.109742943268031</v>
      </c>
      <c r="K94">
        <f t="shared" si="20"/>
        <v>49.653290449460997</v>
      </c>
      <c r="M94" s="22">
        <f t="shared" si="15"/>
        <v>0.88000000000000056</v>
      </c>
      <c r="N94">
        <f t="shared" si="16"/>
        <v>49.37702431947843</v>
      </c>
      <c r="O94">
        <f t="shared" si="12"/>
        <v>0.62297568052157004</v>
      </c>
      <c r="P94">
        <f t="shared" si="17"/>
        <v>2.3798904747315355</v>
      </c>
      <c r="Q94">
        <f t="shared" si="18"/>
        <v>-0.61123173162798139</v>
      </c>
      <c r="R94">
        <f t="shared" si="13"/>
        <v>-5.9935076758736514</v>
      </c>
    </row>
    <row r="95" spans="8:18" x14ac:dyDescent="0.25">
      <c r="H95" s="22">
        <f t="shared" si="14"/>
        <v>0.89000000000000057</v>
      </c>
      <c r="I95" s="15">
        <f t="shared" si="11"/>
        <v>43.110559695785533</v>
      </c>
      <c r="J95">
        <f t="shared" si="19"/>
        <v>43.263189212313641</v>
      </c>
      <c r="K95">
        <f t="shared" si="20"/>
        <v>49.661011683449026</v>
      </c>
      <c r="M95" s="22">
        <f t="shared" si="15"/>
        <v>0.89000000000000057</v>
      </c>
      <c r="N95">
        <f t="shared" si="16"/>
        <v>49.383077248540566</v>
      </c>
      <c r="O95">
        <f t="shared" si="12"/>
        <v>0.61692275145943398</v>
      </c>
      <c r="P95">
        <f t="shared" si="17"/>
        <v>2.3860899668914404</v>
      </c>
      <c r="Q95">
        <f t="shared" si="18"/>
        <v>-0.60529290621360587</v>
      </c>
      <c r="R95">
        <f t="shared" si="13"/>
        <v>-5.9939195785774766</v>
      </c>
    </row>
    <row r="96" spans="8:18" x14ac:dyDescent="0.25">
      <c r="H96" s="22">
        <f t="shared" si="14"/>
        <v>0.90000000000000058</v>
      </c>
      <c r="I96" s="15">
        <f t="shared" si="11"/>
        <v>43.262291963261376</v>
      </c>
      <c r="J96">
        <f t="shared" si="19"/>
        <v>43.413218227504984</v>
      </c>
      <c r="K96">
        <f t="shared" si="20"/>
        <v>49.668560965282275</v>
      </c>
      <c r="M96" s="22">
        <f t="shared" si="15"/>
        <v>0.90000000000000058</v>
      </c>
      <c r="N96">
        <f t="shared" si="16"/>
        <v>49.389071366380357</v>
      </c>
      <c r="O96">
        <f t="shared" si="12"/>
        <v>0.61092863361964334</v>
      </c>
      <c r="P96">
        <f t="shared" si="17"/>
        <v>2.3922292238168357</v>
      </c>
      <c r="Q96">
        <f t="shared" si="18"/>
        <v>-0.59941178397906469</v>
      </c>
      <c r="R96">
        <f t="shared" si="13"/>
        <v>-5.9943274791933767</v>
      </c>
    </row>
    <row r="97" spans="8:18" x14ac:dyDescent="0.25">
      <c r="H97" s="22">
        <f t="shared" si="14"/>
        <v>0.91000000000000059</v>
      </c>
      <c r="I97" s="15">
        <f t="shared" si="11"/>
        <v>43.41068249614387</v>
      </c>
      <c r="J97">
        <f t="shared" si="19"/>
        <v>43.559906091206599</v>
      </c>
      <c r="K97">
        <f t="shared" si="20"/>
        <v>49.675942124341333</v>
      </c>
      <c r="M97" s="22">
        <f t="shared" si="15"/>
        <v>0.91000000000000059</v>
      </c>
      <c r="N97">
        <f t="shared" si="16"/>
        <v>49.395007244421478</v>
      </c>
      <c r="O97">
        <f t="shared" si="12"/>
        <v>0.60499275557852172</v>
      </c>
      <c r="P97">
        <f t="shared" si="17"/>
        <v>2.3983088307628266</v>
      </c>
      <c r="Q97">
        <f t="shared" si="18"/>
        <v>-0.59358780411216117</v>
      </c>
      <c r="R97">
        <f t="shared" si="13"/>
        <v>-5.9947314166004535</v>
      </c>
    </row>
    <row r="98" spans="8:18" x14ac:dyDescent="0.25">
      <c r="H98" s="22">
        <f t="shared" si="14"/>
        <v>0.9200000000000006</v>
      </c>
      <c r="I98" s="15">
        <f t="shared" si="11"/>
        <v>43.555804892424263</v>
      </c>
      <c r="J98">
        <f t="shared" si="19"/>
        <v>43.703327210980675</v>
      </c>
      <c r="K98">
        <f t="shared" si="20"/>
        <v>49.683158904726341</v>
      </c>
      <c r="M98" s="22">
        <f t="shared" si="15"/>
        <v>0.9200000000000006</v>
      </c>
      <c r="N98">
        <f t="shared" si="16"/>
        <v>49.400885448534403</v>
      </c>
      <c r="O98">
        <f t="shared" si="12"/>
        <v>0.59911455146559689</v>
      </c>
      <c r="P98">
        <f t="shared" si="17"/>
        <v>2.4043293672980472</v>
      </c>
      <c r="Q98">
        <f t="shared" si="18"/>
        <v>-0.58782041129248341</v>
      </c>
      <c r="R98">
        <f t="shared" si="13"/>
        <v>-5.9951314293014386</v>
      </c>
    </row>
    <row r="99" spans="8:18" x14ac:dyDescent="0.25">
      <c r="H99" s="22">
        <f t="shared" si="14"/>
        <v>0.9300000000000006</v>
      </c>
      <c r="I99" s="15">
        <f t="shared" si="11"/>
        <v>43.697731129179815</v>
      </c>
      <c r="J99">
        <f t="shared" si="19"/>
        <v>43.843554337330339</v>
      </c>
      <c r="K99">
        <f t="shared" si="20"/>
        <v>49.690214967156201</v>
      </c>
      <c r="M99" s="22">
        <f t="shared" si="15"/>
        <v>0.9300000000000006</v>
      </c>
      <c r="N99">
        <f t="shared" si="16"/>
        <v>49.406706539090621</v>
      </c>
      <c r="O99">
        <f t="shared" si="12"/>
        <v>0.59329346090937918</v>
      </c>
      <c r="P99">
        <f t="shared" si="17"/>
        <v>2.4102914073599222</v>
      </c>
      <c r="Q99">
        <f t="shared" si="18"/>
        <v>-0.58210905562177118</v>
      </c>
      <c r="R99">
        <f t="shared" si="13"/>
        <v>-5.9955275554261673</v>
      </c>
    </row>
    <row r="100" spans="8:18" x14ac:dyDescent="0.25">
      <c r="H100" s="22">
        <f t="shared" si="14"/>
        <v>0.94000000000000061</v>
      </c>
      <c r="I100" s="15">
        <f t="shared" si="11"/>
        <v>43.836531598272636</v>
      </c>
      <c r="J100">
        <f t="shared" si="19"/>
        <v>43.980658600602446</v>
      </c>
      <c r="K100">
        <f t="shared" si="20"/>
        <v>49.69711389082547</v>
      </c>
      <c r="M100" s="22">
        <f t="shared" si="15"/>
        <v>0.94000000000000061</v>
      </c>
      <c r="N100">
        <f t="shared" si="16"/>
        <v>49.412471071016306</v>
      </c>
      <c r="O100">
        <f t="shared" si="12"/>
        <v>0.58752892898369424</v>
      </c>
      <c r="P100">
        <f t="shared" si="17"/>
        <v>2.4161955193093876</v>
      </c>
      <c r="Q100">
        <f t="shared" si="18"/>
        <v>-0.57645319256849348</v>
      </c>
      <c r="R100">
        <f t="shared" si="13"/>
        <v>-5.9959198327347938</v>
      </c>
    </row>
    <row r="101" spans="8:18" x14ac:dyDescent="0.25">
      <c r="H101" s="22">
        <f t="shared" si="14"/>
        <v>0.95000000000000062</v>
      </c>
      <c r="I101" s="15">
        <f t="shared" si="11"/>
        <v>43.97227514126228</v>
      </c>
      <c r="J101">
        <f t="shared" si="19"/>
        <v>44.1147095470685</v>
      </c>
      <c r="K101">
        <f t="shared" si="20"/>
        <v>49.703859175219925</v>
      </c>
      <c r="M101" s="22">
        <f t="shared" si="15"/>
        <v>0.95000000000000062</v>
      </c>
      <c r="N101">
        <f t="shared" si="16"/>
        <v>49.418179593845402</v>
      </c>
      <c r="O101">
        <f t="shared" si="12"/>
        <v>0.5818204061545984</v>
      </c>
      <c r="P101">
        <f t="shared" si="17"/>
        <v>2.4220422659850791</v>
      </c>
      <c r="Q101">
        <f t="shared" si="18"/>
        <v>-0.57085228290958412</v>
      </c>
      <c r="R101">
        <f t="shared" si="13"/>
        <v>-5.9963082986211633</v>
      </c>
    </row>
    <row r="102" spans="8:18" x14ac:dyDescent="0.25">
      <c r="H102" s="22">
        <f t="shared" si="14"/>
        <v>0.96000000000000063</v>
      </c>
      <c r="I102" s="15">
        <f t="shared" si="11"/>
        <v>44.105029083549482</v>
      </c>
      <c r="J102">
        <f t="shared" si="19"/>
        <v>44.245775174202073</v>
      </c>
      <c r="K102">
        <f t="shared" si="20"/>
        <v>49.710454241891668</v>
      </c>
      <c r="M102" s="22">
        <f t="shared" si="15"/>
        <v>0.96000000000000063</v>
      </c>
      <c r="N102">
        <f t="shared" si="16"/>
        <v>49.423832651772109</v>
      </c>
      <c r="O102">
        <f t="shared" si="12"/>
        <v>0.57616734822789084</v>
      </c>
      <c r="P102">
        <f t="shared" si="17"/>
        <v>2.4278322047569914</v>
      </c>
      <c r="Q102">
        <f t="shared" si="18"/>
        <v>-0.56530579267075609</v>
      </c>
      <c r="R102">
        <f t="shared" si="13"/>
        <v>-5.9966929901163493</v>
      </c>
    </row>
    <row r="103" spans="8:18" x14ac:dyDescent="0.25">
      <c r="H103" s="22">
        <f t="shared" si="14"/>
        <v>0.97000000000000064</v>
      </c>
      <c r="I103" s="15">
        <f t="shared" si="11"/>
        <v>44.234859267767781</v>
      </c>
      <c r="J103">
        <f t="shared" si="19"/>
        <v>44.373921965170581</v>
      </c>
      <c r="K103">
        <f t="shared" si="20"/>
        <v>49.716902436194708</v>
      </c>
      <c r="M103" s="22">
        <f t="shared" si="15"/>
        <v>0.97000000000000064</v>
      </c>
      <c r="N103">
        <f t="shared" si="16"/>
        <v>49.429430783702898</v>
      </c>
      <c r="O103">
        <f t="shared" si="12"/>
        <v>0.57056921629710189</v>
      </c>
      <c r="P103">
        <f t="shared" si="17"/>
        <v>2.4335658875796162</v>
      </c>
      <c r="Q103">
        <f t="shared" si="18"/>
        <v>-0.55981319307889521</v>
      </c>
      <c r="R103">
        <f t="shared" si="13"/>
        <v>-5.9970739438918583</v>
      </c>
    </row>
    <row r="104" spans="8:18" x14ac:dyDescent="0.25">
      <c r="H104" s="22">
        <f t="shared" si="14"/>
        <v>0.98000000000000065</v>
      </c>
      <c r="I104" s="15">
        <f t="shared" si="11"/>
        <v>44.361830086439909</v>
      </c>
      <c r="J104">
        <f t="shared" si="19"/>
        <v>44.499214922558949</v>
      </c>
      <c r="K104">
        <f t="shared" si="20"/>
        <v>49.723207028981911</v>
      </c>
      <c r="M104" s="22">
        <f t="shared" si="15"/>
        <v>0.98000000000000065</v>
      </c>
      <c r="N104">
        <f t="shared" si="16"/>
        <v>49.434974523307915</v>
      </c>
      <c r="O104">
        <f t="shared" si="12"/>
        <v>0.56502547669208525</v>
      </c>
      <c r="P104">
        <f t="shared" si="17"/>
        <v>2.4392438610445621</v>
      </c>
      <c r="Q104">
        <f t="shared" si="18"/>
        <v>-0.55437396050166399</v>
      </c>
      <c r="R104">
        <f t="shared" si="13"/>
        <v>-5.9974511962632615</v>
      </c>
    </row>
    <row r="105" spans="8:18" x14ac:dyDescent="0.25">
      <c r="H105" s="22">
        <f t="shared" si="14"/>
        <v>0.99000000000000066</v>
      </c>
      <c r="I105" s="15">
        <f t="shared" si="11"/>
        <v>44.486004513914843</v>
      </c>
      <c r="J105">
        <f t="shared" si="19"/>
        <v>44.621717601342233</v>
      </c>
      <c r="K105">
        <f t="shared" si="20"/>
        <v>49.72937121826412</v>
      </c>
      <c r="M105" s="22">
        <f t="shared" si="15"/>
        <v>0.99000000000000066</v>
      </c>
      <c r="N105">
        <f t="shared" si="16"/>
        <v>49.440464399071949</v>
      </c>
      <c r="O105">
        <f t="shared" si="12"/>
        <v>0.55953560092805077</v>
      </c>
      <c r="P105">
        <f t="shared" si="17"/>
        <v>2.444866666432663</v>
      </c>
      <c r="Q105">
        <f t="shared" si="18"/>
        <v>-0.54898757640344797</v>
      </c>
      <c r="R105">
        <f t="shared" si="13"/>
        <v>-5.9978247831933587</v>
      </c>
    </row>
    <row r="106" spans="8:18" x14ac:dyDescent="0.25">
      <c r="H106" s="22">
        <f t="shared" si="14"/>
        <v>1.0000000000000007</v>
      </c>
      <c r="I106" s="15">
        <f t="shared" si="11"/>
        <v>44.607444137601462</v>
      </c>
      <c r="J106">
        <f t="shared" si="19"/>
        <v>44.741492141123935</v>
      </c>
      <c r="K106">
        <f t="shared" si="20"/>
        <v>49.735398130832372</v>
      </c>
      <c r="M106" s="22">
        <f t="shared" si="15"/>
        <v>1.0000000000000007</v>
      </c>
      <c r="N106">
        <f t="shared" si="16"/>
        <v>49.445900934344827</v>
      </c>
      <c r="O106">
        <f t="shared" si="12"/>
        <v>0.55409906565517275</v>
      </c>
      <c r="P106">
        <f t="shared" si="17"/>
        <v>2.4504348397655793</v>
      </c>
      <c r="Q106">
        <f t="shared" si="18"/>
        <v>-0.54365352728780181</v>
      </c>
      <c r="R106">
        <f t="shared" si="13"/>
        <v>-5.9981947402957481</v>
      </c>
    </row>
    <row r="107" spans="8:18" x14ac:dyDescent="0.25">
      <c r="H107" s="22">
        <f t="shared" si="14"/>
        <v>1.0100000000000007</v>
      </c>
      <c r="I107" s="15">
        <f t="shared" si="11"/>
        <v>44.726209188514432</v>
      </c>
      <c r="J107">
        <f t="shared" si="19"/>
        <v>44.85859929765639</v>
      </c>
      <c r="K107">
        <f t="shared" si="20"/>
        <v>49.741290823843961</v>
      </c>
      <c r="M107" s="22">
        <f t="shared" si="15"/>
        <v>1.0100000000000007</v>
      </c>
      <c r="N107">
        <f t="shared" si="16"/>
        <v>49.45128464739134</v>
      </c>
      <c r="O107">
        <f t="shared" si="12"/>
        <v>0.54871535260866011</v>
      </c>
      <c r="P107">
        <f t="shared" si="17"/>
        <v>2.4559489118568987</v>
      </c>
      <c r="Q107">
        <f t="shared" si="18"/>
        <v>-0.53837130465126393</v>
      </c>
      <c r="R107">
        <f t="shared" si="13"/>
        <v>-5.9985611028380923</v>
      </c>
    </row>
    <row r="108" spans="8:18" x14ac:dyDescent="0.25">
      <c r="H108" s="22">
        <f t="shared" si="14"/>
        <v>1.0200000000000007</v>
      </c>
      <c r="I108" s="15">
        <f t="shared" si="11"/>
        <v>44.842358571147209</v>
      </c>
      <c r="J108">
        <f t="shared" si="19"/>
        <v>44.973098473659164</v>
      </c>
      <c r="K108">
        <f t="shared" si="20"/>
        <v>49.747052286373176</v>
      </c>
      <c r="M108" s="22">
        <f t="shared" si="15"/>
        <v>1.0200000000000007</v>
      </c>
      <c r="N108">
        <f t="shared" si="16"/>
        <v>49.456616051440676</v>
      </c>
      <c r="O108">
        <f t="shared" si="12"/>
        <v>0.54338394855932393</v>
      </c>
      <c r="P108">
        <f t="shared" si="17"/>
        <v>2.4614094083627385</v>
      </c>
      <c r="Q108">
        <f t="shared" si="18"/>
        <v>-0.53314040493361858</v>
      </c>
      <c r="R108">
        <f t="shared" si="13"/>
        <v>-5.9989239057454524</v>
      </c>
    </row>
    <row r="109" spans="8:18" x14ac:dyDescent="0.25">
      <c r="H109" s="22">
        <f t="shared" si="14"/>
        <v>1.0300000000000007</v>
      </c>
      <c r="I109" s="15">
        <f t="shared" si="11"/>
        <v>44.955949892687286</v>
      </c>
      <c r="J109">
        <f t="shared" si="19"/>
        <v>45.085047748951155</v>
      </c>
      <c r="K109">
        <f t="shared" si="20"/>
        <v>49.752685440927507</v>
      </c>
      <c r="M109" s="22">
        <f t="shared" si="15"/>
        <v>1.0300000000000007</v>
      </c>
      <c r="N109">
        <f t="shared" si="16"/>
        <v>49.461895654735358</v>
      </c>
      <c r="O109">
        <f t="shared" si="12"/>
        <v>0.53810434526464235</v>
      </c>
      <c r="P109">
        <f t="shared" si="17"/>
        <v>2.4668168498318583</v>
      </c>
      <c r="Q109">
        <f t="shared" si="18"/>
        <v>-0.52796032946815785</v>
      </c>
      <c r="R109">
        <f t="shared" si="13"/>
        <v>-5.9992831836036382</v>
      </c>
    </row>
    <row r="110" spans="8:18" x14ac:dyDescent="0.25">
      <c r="H110" s="22">
        <f t="shared" si="14"/>
        <v>1.0400000000000007</v>
      </c>
      <c r="I110" s="15">
        <f t="shared" si="11"/>
        <v>45.067039491587813</v>
      </c>
      <c r="J110">
        <f t="shared" si="19"/>
        <v>45.194503909911639</v>
      </c>
      <c r="K110">
        <f t="shared" si="20"/>
        <v>49.758193144930111</v>
      </c>
      <c r="M110" s="22">
        <f t="shared" si="15"/>
        <v>1.0400000000000007</v>
      </c>
      <c r="N110">
        <f t="shared" si="16"/>
        <v>49.467123960579713</v>
      </c>
      <c r="O110">
        <f t="shared" si="12"/>
        <v>0.53287603942028738</v>
      </c>
      <c r="P110">
        <f t="shared" si="17"/>
        <v>2.4721717517552828</v>
      </c>
      <c r="Q110">
        <f t="shared" si="18"/>
        <v>-0.52283058443549635</v>
      </c>
      <c r="R110">
        <f t="shared" si="13"/>
        <v>-5.9996389706624305</v>
      </c>
    </row>
    <row r="111" spans="8:18" x14ac:dyDescent="0.25">
      <c r="H111" s="22">
        <f t="shared" si="14"/>
        <v>1.0500000000000007</v>
      </c>
      <c r="I111" s="15">
        <f t="shared" si="11"/>
        <v>45.175682465510128</v>
      </c>
      <c r="J111">
        <f t="shared" si="19"/>
        <v>45.301522478285207</v>
      </c>
      <c r="K111">
        <f t="shared" si="20"/>
        <v>49.76357819216922</v>
      </c>
      <c r="M111" s="22">
        <f t="shared" si="15"/>
        <v>1.0500000000000007</v>
      </c>
      <c r="N111">
        <f t="shared" si="16"/>
        <v>49.472301467387851</v>
      </c>
      <c r="O111">
        <f t="shared" si="12"/>
        <v>0.52769853261214905</v>
      </c>
      <c r="P111">
        <f t="shared" si="17"/>
        <v>2.4774746246154451</v>
      </c>
      <c r="Q111">
        <f t="shared" si="18"/>
        <v>-0.51775068081383324</v>
      </c>
      <c r="R111">
        <f t="shared" si="13"/>
        <v>-5.9999913008389116</v>
      </c>
    </row>
    <row r="112" spans="8:18" x14ac:dyDescent="0.25">
      <c r="H112" s="22">
        <f t="shared" si="14"/>
        <v>1.0600000000000007</v>
      </c>
      <c r="I112" s="15">
        <f t="shared" si="11"/>
        <v>45.281932698650813</v>
      </c>
      <c r="J112">
        <f t="shared" si="19"/>
        <v>45.406157739345225</v>
      </c>
      <c r="K112">
        <f t="shared" si="20"/>
        <v>49.76884331421531</v>
      </c>
      <c r="M112" s="22">
        <f t="shared" si="15"/>
        <v>1.0600000000000007</v>
      </c>
      <c r="N112">
        <f t="shared" si="16"/>
        <v>49.477428668731207</v>
      </c>
      <c r="O112">
        <f t="shared" si="12"/>
        <v>0.52257133126879296</v>
      </c>
      <c r="P112">
        <f t="shared" si="17"/>
        <v>2.48272597393485</v>
      </c>
      <c r="Q112">
        <f t="shared" si="18"/>
        <v>-0.51272013433560915</v>
      </c>
      <c r="R112">
        <f t="shared" si="13"/>
        <v>-6.0003402077205736</v>
      </c>
    </row>
    <row r="113" spans="8:18" x14ac:dyDescent="0.25">
      <c r="H113" s="22">
        <f t="shared" si="14"/>
        <v>1.0700000000000007</v>
      </c>
      <c r="I113" s="15">
        <f t="shared" si="11"/>
        <v>45.385842888466875</v>
      </c>
      <c r="J113">
        <f t="shared" si="19"/>
        <v>45.508462769430103</v>
      </c>
      <c r="K113">
        <f t="shared" si="20"/>
        <v>49.773991181806686</v>
      </c>
      <c r="M113" s="22">
        <f t="shared" si="15"/>
        <v>1.0700000000000007</v>
      </c>
      <c r="N113">
        <f t="shared" si="16"/>
        <v>49.482506053385571</v>
      </c>
      <c r="O113">
        <f t="shared" si="12"/>
        <v>0.51749394661442949</v>
      </c>
      <c r="P113">
        <f t="shared" si="17"/>
        <v>2.4879263003242662</v>
      </c>
      <c r="Q113">
        <f t="shared" si="18"/>
        <v>-0.50773846543634704</v>
      </c>
      <c r="R113">
        <f t="shared" si="13"/>
        <v>-6.0006857245686644</v>
      </c>
    </row>
    <row r="114" spans="8:18" x14ac:dyDescent="0.25">
      <c r="H114" s="22">
        <f t="shared" si="14"/>
        <v>1.0800000000000007</v>
      </c>
      <c r="I114" s="15">
        <f t="shared" si="11"/>
        <v>45.487464571812382</v>
      </c>
      <c r="J114">
        <f t="shared" si="19"/>
        <v>45.608489462866309</v>
      </c>
      <c r="K114">
        <f t="shared" si="20"/>
        <v>49.779024406204215</v>
      </c>
      <c r="M114" s="22">
        <f t="shared" si="15"/>
        <v>1.0800000000000007</v>
      </c>
      <c r="N114">
        <f t="shared" si="16"/>
        <v>49.487534105377705</v>
      </c>
      <c r="O114">
        <f t="shared" si="12"/>
        <v>0.51246589462229508</v>
      </c>
      <c r="P114">
        <f t="shared" si="17"/>
        <v>2.49307609953045</v>
      </c>
      <c r="Q114">
        <f t="shared" si="18"/>
        <v>-0.5028051992134408</v>
      </c>
      <c r="R114">
        <f t="shared" si="13"/>
        <v>-6.0010278843212213</v>
      </c>
    </row>
    <row r="115" spans="8:18" x14ac:dyDescent="0.25">
      <c r="H115" s="22">
        <f t="shared" si="14"/>
        <v>1.0900000000000007</v>
      </c>
      <c r="I115" s="15">
        <f t="shared" si="11"/>
        <v>45.586848150499478</v>
      </c>
      <c r="J115">
        <f t="shared" si="19"/>
        <v>45.706288558291824</v>
      </c>
      <c r="K115">
        <f t="shared" si="20"/>
        <v>49.78394554051588</v>
      </c>
      <c r="M115" s="22">
        <f t="shared" si="15"/>
        <v>1.0900000000000007</v>
      </c>
      <c r="N115">
        <f t="shared" si="16"/>
        <v>49.492513304031476</v>
      </c>
      <c r="O115">
        <f t="shared" si="12"/>
        <v>0.5074866959685238</v>
      </c>
      <c r="P115">
        <f t="shared" si="17"/>
        <v>2.4981758624834041</v>
      </c>
      <c r="Q115">
        <f t="shared" si="18"/>
        <v>-0.49791986537712773</v>
      </c>
      <c r="R115">
        <f t="shared" si="13"/>
        <v>-6.0013667195963132</v>
      </c>
    </row>
    <row r="116" spans="8:18" x14ac:dyDescent="0.25">
      <c r="H116" s="22">
        <f t="shared" si="14"/>
        <v>1.1000000000000008</v>
      </c>
      <c r="I116" s="15">
        <f t="shared" si="11"/>
        <v>45.684042916296384</v>
      </c>
      <c r="J116">
        <f t="shared" si="19"/>
        <v>45.801909664393349</v>
      </c>
      <c r="K116">
        <f t="shared" si="20"/>
        <v>49.788757080991878</v>
      </c>
      <c r="M116" s="22">
        <f t="shared" si="15"/>
        <v>1.1000000000000008</v>
      </c>
      <c r="N116">
        <f t="shared" si="16"/>
        <v>49.497444124013583</v>
      </c>
      <c r="O116">
        <f t="shared" si="12"/>
        <v>0.50255587598641682</v>
      </c>
      <c r="P116">
        <f t="shared" si="17"/>
        <v>2.503226075343179</v>
      </c>
      <c r="Q116">
        <f t="shared" si="18"/>
        <v>-0.4930819982106982</v>
      </c>
      <c r="R116">
        <f t="shared" si="13"/>
        <v>-6.0017022626949776</v>
      </c>
    </row>
    <row r="117" spans="8:18" x14ac:dyDescent="0.25">
      <c r="H117" s="22">
        <f t="shared" si="14"/>
        <v>1.1100000000000008</v>
      </c>
      <c r="I117" s="15">
        <f t="shared" si="11"/>
        <v>45.779097075374906</v>
      </c>
      <c r="J117">
        <f t="shared" si="19"/>
        <v>45.895401285070392</v>
      </c>
      <c r="K117">
        <f t="shared" si="20"/>
        <v>49.793461468290815</v>
      </c>
      <c r="M117" s="22">
        <f t="shared" si="15"/>
        <v>1.1100000000000008</v>
      </c>
      <c r="N117">
        <f t="shared" si="16"/>
        <v>49.502327035378748</v>
      </c>
      <c r="O117">
        <f t="shared" si="12"/>
        <v>0.49767296462125188</v>
      </c>
      <c r="P117">
        <f t="shared" si="17"/>
        <v>2.5082272195462174</v>
      </c>
      <c r="Q117">
        <f t="shared" si="18"/>
        <v>-0.48829113651649436</v>
      </c>
      <c r="R117">
        <f t="shared" si="13"/>
        <v>-6.0020345456046087</v>
      </c>
    </row>
    <row r="118" spans="8:18" x14ac:dyDescent="0.25">
      <c r="H118" s="22">
        <f t="shared" si="14"/>
        <v>1.1200000000000008</v>
      </c>
      <c r="I118" s="15">
        <f t="shared" si="11"/>
        <v>45.872057772219463</v>
      </c>
      <c r="J118">
        <f t="shared" si="19"/>
        <v>45.986810844038878</v>
      </c>
      <c r="K118">
        <f t="shared" si="20"/>
        <v>49.798061088717745</v>
      </c>
      <c r="M118" s="22">
        <f t="shared" si="15"/>
        <v>1.1200000000000008</v>
      </c>
      <c r="N118">
        <f t="shared" si="16"/>
        <v>49.507162503614602</v>
      </c>
      <c r="O118">
        <f t="shared" si="12"/>
        <v>0.49283749638539831</v>
      </c>
      <c r="P118">
        <f t="shared" si="17"/>
        <v>2.5131797718512505</v>
      </c>
      <c r="Q118">
        <f t="shared" si="18"/>
        <v>-0.48354682358535683</v>
      </c>
      <c r="R118">
        <f t="shared" si="13"/>
        <v>-6.0023636000015905</v>
      </c>
    </row>
    <row r="119" spans="8:18" x14ac:dyDescent="0.25">
      <c r="H119" s="22">
        <f t="shared" si="14"/>
        <v>1.1300000000000008</v>
      </c>
      <c r="I119" s="15">
        <f t="shared" si="11"/>
        <v>45.962971113009608</v>
      </c>
      <c r="J119">
        <f t="shared" si="19"/>
        <v>46.076184708886906</v>
      </c>
      <c r="K119">
        <f t="shared" si="20"/>
        <v>49.80255827543462</v>
      </c>
      <c r="M119" s="22">
        <f t="shared" si="15"/>
        <v>1.1300000000000008</v>
      </c>
      <c r="N119">
        <f t="shared" si="16"/>
        <v>49.511950989685992</v>
      </c>
      <c r="O119">
        <f t="shared" si="12"/>
        <v>0.4880490103140076</v>
      </c>
      <c r="P119">
        <f t="shared" si="17"/>
        <v>2.5180842043847473</v>
      </c>
      <c r="Q119">
        <f t="shared" si="18"/>
        <v>-0.47884860713907074</v>
      </c>
      <c r="R119">
        <f t="shared" si="13"/>
        <v>-6.0026894572547285</v>
      </c>
    </row>
    <row r="120" spans="8:18" x14ac:dyDescent="0.25">
      <c r="H120" s="22">
        <f t="shared" si="14"/>
        <v>1.1400000000000008</v>
      </c>
      <c r="I120" s="15">
        <f t="shared" si="11"/>
        <v>46.051882188487511</v>
      </c>
      <c r="J120">
        <f t="shared" si="19"/>
        <v>46.163568214594747</v>
      </c>
      <c r="K120">
        <f t="shared" si="20"/>
        <v>49.806955309643797</v>
      </c>
      <c r="M120" s="22">
        <f t="shared" si="15"/>
        <v>1.1400000000000008</v>
      </c>
      <c r="N120">
        <f t="shared" si="16"/>
        <v>49.516692950078976</v>
      </c>
      <c r="O120">
        <f t="shared" si="12"/>
        <v>0.48330704992102369</v>
      </c>
      <c r="P120">
        <f t="shared" si="17"/>
        <v>2.5229409846859223</v>
      </c>
      <c r="Q120">
        <f t="shared" si="18"/>
        <v>-0.47419603929839127</v>
      </c>
      <c r="R120">
        <f t="shared" si="13"/>
        <v>-6.0030121484279242</v>
      </c>
    </row>
    <row r="121" spans="8:18" x14ac:dyDescent="0.25">
      <c r="H121" s="22">
        <f t="shared" si="14"/>
        <v>1.1500000000000008</v>
      </c>
      <c r="I121" s="15">
        <f t="shared" si="11"/>
        <v>46.138835096321841</v>
      </c>
      <c r="J121">
        <f t="shared" si="19"/>
        <v>46.249005686531049</v>
      </c>
      <c r="K121">
        <f t="shared" si="20"/>
        <v>49.811254421745176</v>
      </c>
      <c r="M121" s="22">
        <f t="shared" si="15"/>
        <v>1.1500000000000008</v>
      </c>
      <c r="N121">
        <f t="shared" si="16"/>
        <v>49.521388836844316</v>
      </c>
      <c r="O121">
        <f t="shared" si="12"/>
        <v>0.47861116315568353</v>
      </c>
      <c r="P121">
        <f t="shared" si="17"/>
        <v>2.5277505757513059</v>
      </c>
      <c r="Q121">
        <f t="shared" si="18"/>
        <v>-0.46958867653401626</v>
      </c>
      <c r="R121">
        <f t="shared" si="13"/>
        <v>-6.0033317042832985</v>
      </c>
    </row>
    <row r="122" spans="8:18" x14ac:dyDescent="0.25">
      <c r="H122" s="22">
        <f t="shared" si="14"/>
        <v>1.1600000000000008</v>
      </c>
      <c r="I122" s="15">
        <f t="shared" si="11"/>
        <v>46.223872962979151</v>
      </c>
      <c r="J122">
        <f t="shared" si="19"/>
        <v>46.332540462936926</v>
      </c>
      <c r="K122">
        <f t="shared" si="20"/>
        <v>49.815457792467576</v>
      </c>
      <c r="M122" s="22">
        <f t="shared" si="15"/>
        <v>1.1600000000000008</v>
      </c>
      <c r="N122">
        <f t="shared" si="16"/>
        <v>49.52603909764057</v>
      </c>
      <c r="O122">
        <f t="shared" si="12"/>
        <v>0.47396090235942978</v>
      </c>
      <c r="P122">
        <f t="shared" si="17"/>
        <v>2.5325134360788817</v>
      </c>
      <c r="Q122">
        <f t="shared" si="18"/>
        <v>-0.46502607962537468</v>
      </c>
      <c r="R122">
        <f t="shared" si="13"/>
        <v>-6.0036481552841154</v>
      </c>
    </row>
    <row r="123" spans="8:18" x14ac:dyDescent="0.25">
      <c r="H123" s="22">
        <f t="shared" si="14"/>
        <v>1.1700000000000008</v>
      </c>
      <c r="I123" s="15">
        <f t="shared" si="11"/>
        <v>46.30703796511343</v>
      </c>
      <c r="J123">
        <f t="shared" si="19"/>
        <v>46.41421491690933</v>
      </c>
      <c r="K123">
        <f t="shared" si="20"/>
        <v>49.819567553974892</v>
      </c>
      <c r="M123" s="22">
        <f t="shared" si="15"/>
        <v>1.1700000000000008</v>
      </c>
      <c r="N123">
        <f t="shared" si="16"/>
        <v>49.530644175776786</v>
      </c>
      <c r="O123">
        <f t="shared" si="12"/>
        <v>0.46935582422321431</v>
      </c>
      <c r="P123">
        <f t="shared" si="17"/>
        <v>2.537230019711795</v>
      </c>
      <c r="Q123">
        <f t="shared" si="18"/>
        <v>-0.4605078136215468</v>
      </c>
      <c r="R123">
        <f t="shared" si="13"/>
        <v>-6.0039615315975876</v>
      </c>
    </row>
    <row r="124" spans="8:18" x14ac:dyDescent="0.25">
      <c r="H124" s="22">
        <f t="shared" si="14"/>
        <v>1.1800000000000008</v>
      </c>
      <c r="I124" s="15">
        <f t="shared" si="11"/>
        <v>46.388371350484775</v>
      </c>
      <c r="J124">
        <f t="shared" si="19"/>
        <v>46.494070477894837</v>
      </c>
      <c r="K124">
        <f t="shared" si="20"/>
        <v>49.823585790947675</v>
      </c>
      <c r="M124" s="22">
        <f t="shared" si="15"/>
        <v>1.1800000000000008</v>
      </c>
      <c r="N124">
        <f t="shared" si="16"/>
        <v>49.535204510254744</v>
      </c>
      <c r="O124">
        <f t="shared" si="12"/>
        <v>0.46479548974525642</v>
      </c>
      <c r="P124">
        <f t="shared" si="17"/>
        <v>2.5419007762816372</v>
      </c>
      <c r="Q124">
        <f t="shared" si="18"/>
        <v>-0.45603344779578947</v>
      </c>
      <c r="R124">
        <f t="shared" si="13"/>
        <v>-6.0042718630978715</v>
      </c>
    </row>
    <row r="125" spans="8:18" x14ac:dyDescent="0.25">
      <c r="H125" s="22">
        <f t="shared" si="14"/>
        <v>1.1900000000000008</v>
      </c>
      <c r="I125" s="15">
        <f t="shared" si="11"/>
        <v>46.467913458417165</v>
      </c>
      <c r="J125">
        <f t="shared" si="19"/>
        <v>46.572147652704778</v>
      </c>
      <c r="K125">
        <f t="shared" si="20"/>
        <v>49.827514541640546</v>
      </c>
      <c r="M125" s="22">
        <f t="shared" si="15"/>
        <v>1.1900000000000008</v>
      </c>
      <c r="N125">
        <f t="shared" si="16"/>
        <v>49.539720535810815</v>
      </c>
      <c r="O125">
        <f t="shared" si="12"/>
        <v>0.46027946418918475</v>
      </c>
      <c r="P125">
        <f t="shared" si="17"/>
        <v>2.5465261510513093</v>
      </c>
      <c r="Q125">
        <f t="shared" si="18"/>
        <v>-0.45160255560716678</v>
      </c>
      <c r="R125">
        <f t="shared" si="13"/>
        <v>-6.0045791793688448</v>
      </c>
    </row>
    <row r="126" spans="8:18" x14ac:dyDescent="0.25">
      <c r="H126" s="22">
        <f t="shared" si="14"/>
        <v>1.2000000000000008</v>
      </c>
      <c r="I126" s="15">
        <f t="shared" si="11"/>
        <v>46.545703739805838</v>
      </c>
      <c r="J126">
        <f t="shared" si="19"/>
        <v>46.648486046062366</v>
      </c>
      <c r="K126">
        <f t="shared" si="20"/>
        <v>49.831355798916142</v>
      </c>
      <c r="M126" s="22">
        <f t="shared" si="15"/>
        <v>1.2000000000000008</v>
      </c>
      <c r="N126">
        <f t="shared" si="16"/>
        <v>49.544192682957402</v>
      </c>
      <c r="O126">
        <f t="shared" si="12"/>
        <v>0.45580731704259847</v>
      </c>
      <c r="P126">
        <f t="shared" si="17"/>
        <v>2.5511065849574681</v>
      </c>
      <c r="Q126">
        <f t="shared" si="18"/>
        <v>-0.44721471465862805</v>
      </c>
      <c r="R126">
        <f t="shared" si="13"/>
        <v>-6.0048835097069606</v>
      </c>
    </row>
    <row r="127" spans="8:18" x14ac:dyDescent="0.25">
      <c r="H127" s="22">
        <f t="shared" si="14"/>
        <v>1.2100000000000009</v>
      </c>
      <c r="I127" s="15">
        <f t="shared" si="11"/>
        <v>46.621780776683842</v>
      </c>
      <c r="J127">
        <f t="shared" si="19"/>
        <v>46.723124380692212</v>
      </c>
      <c r="K127">
        <f t="shared" si="20"/>
        <v>49.83511151125596</v>
      </c>
      <c r="M127" s="22">
        <f t="shared" si="15"/>
        <v>1.2100000000000009</v>
      </c>
      <c r="N127">
        <f t="shared" si="16"/>
        <v>49.548621378023988</v>
      </c>
      <c r="O127">
        <f t="shared" si="12"/>
        <v>0.45137862197601208</v>
      </c>
      <c r="P127">
        <f t="shared" si="17"/>
        <v>2.5556425146525612</v>
      </c>
      <c r="Q127">
        <f t="shared" si="18"/>
        <v>-0.44286950665863856</v>
      </c>
      <c r="R127">
        <f t="shared" si="13"/>
        <v>-6.0051848831239738</v>
      </c>
    </row>
    <row r="128" spans="8:18" x14ac:dyDescent="0.25">
      <c r="H128" s="22">
        <f t="shared" si="14"/>
        <v>1.2200000000000009</v>
      </c>
      <c r="I128" s="15">
        <f t="shared" si="11"/>
        <v>46.696182301357865</v>
      </c>
      <c r="J128">
        <f t="shared" si="19"/>
        <v>46.79610051696249</v>
      </c>
      <c r="K128">
        <f t="shared" si="20"/>
        <v>49.838783583748757</v>
      </c>
      <c r="M128" s="22">
        <f t="shared" si="15"/>
        <v>1.2200000000000009</v>
      </c>
      <c r="N128">
        <f t="shared" si="16"/>
        <v>49.553007043197766</v>
      </c>
      <c r="O128">
        <f t="shared" si="12"/>
        <v>0.44699295680223372</v>
      </c>
      <c r="P128">
        <f t="shared" si="17"/>
        <v>2.5601343725464525</v>
      </c>
      <c r="Q128">
        <f t="shared" si="18"/>
        <v>-0.43856651737783636</v>
      </c>
      <c r="R128">
        <f t="shared" si="13"/>
        <v>-6.0054833283498157</v>
      </c>
    </row>
    <row r="129" spans="8:18" x14ac:dyDescent="0.25">
      <c r="H129" s="22">
        <f t="shared" si="14"/>
        <v>1.2300000000000009</v>
      </c>
      <c r="I129" s="15">
        <f t="shared" si="11"/>
        <v>46.768945215122443</v>
      </c>
      <c r="J129">
        <f t="shared" si="19"/>
        <v>46.86745147208962</v>
      </c>
      <c r="K129">
        <f t="shared" si="20"/>
        <v>49.842373879056893</v>
      </c>
      <c r="M129" s="22">
        <f t="shared" si="15"/>
        <v>1.2300000000000009</v>
      </c>
      <c r="N129">
        <f t="shared" si="16"/>
        <v>49.557350096563894</v>
      </c>
      <c r="O129">
        <f t="shared" si="12"/>
        <v>0.44264990343610577</v>
      </c>
      <c r="P129">
        <f t="shared" si="17"/>
        <v>2.5645825868476444</v>
      </c>
      <c r="Q129">
        <f t="shared" si="18"/>
        <v>-0.43430533661279469</v>
      </c>
      <c r="R129">
        <f t="shared" si="13"/>
        <v>-6.0057788738352444</v>
      </c>
    </row>
    <row r="130" spans="8:18" x14ac:dyDescent="0.25">
      <c r="H130" s="22">
        <f t="shared" si="14"/>
        <v>1.2400000000000009</v>
      </c>
      <c r="I130" s="15">
        <f t="shared" si="11"/>
        <v>46.840105606562112</v>
      </c>
      <c r="J130">
        <f t="shared" si="19"/>
        <v>46.9372134389153</v>
      </c>
      <c r="K130">
        <f t="shared" si="20"/>
        <v>49.845884218361178</v>
      </c>
      <c r="M130" s="22">
        <f t="shared" si="15"/>
        <v>1.2400000000000009</v>
      </c>
      <c r="N130">
        <f t="shared" si="16"/>
        <v>49.561650952145349</v>
      </c>
      <c r="O130">
        <f t="shared" si="12"/>
        <v>0.43834904785465056</v>
      </c>
      <c r="P130">
        <f t="shared" si="17"/>
        <v>2.5689875816040981</v>
      </c>
      <c r="Q130">
        <f t="shared" si="18"/>
        <v>-0.43008555814552096</v>
      </c>
      <c r="R130">
        <f t="shared" si="13"/>
        <v>-6.006071547754587</v>
      </c>
    </row>
    <row r="131" spans="8:18" x14ac:dyDescent="0.25">
      <c r="H131" s="22">
        <f t="shared" si="14"/>
        <v>1.2500000000000009</v>
      </c>
      <c r="I131" s="15">
        <f t="shared" si="11"/>
        <v>46.909698769450429</v>
      </c>
      <c r="J131">
        <f t="shared" si="19"/>
        <v>47.005421804265374</v>
      </c>
      <c r="K131">
        <f t="shared" si="20"/>
        <v>49.849316382284641</v>
      </c>
      <c r="M131" s="22">
        <f t="shared" si="15"/>
        <v>1.2500000000000009</v>
      </c>
      <c r="N131">
        <f t="shared" si="16"/>
        <v>49.565910019942393</v>
      </c>
      <c r="O131">
        <f t="shared" si="12"/>
        <v>0.43408998005760679</v>
      </c>
      <c r="P131">
        <f t="shared" si="17"/>
        <v>2.5733497767436595</v>
      </c>
      <c r="Q131">
        <f t="shared" si="18"/>
        <v>-0.42590677970437696</v>
      </c>
      <c r="R131">
        <f t="shared" si="13"/>
        <v>-6.0063613780084451</v>
      </c>
    </row>
    <row r="132" spans="8:18" x14ac:dyDescent="0.25">
      <c r="H132" s="22">
        <f t="shared" si="14"/>
        <v>1.2600000000000009</v>
      </c>
      <c r="I132" s="15">
        <f t="shared" si="11"/>
        <v>46.977759220254804</v>
      </c>
      <c r="J132">
        <f t="shared" si="19"/>
        <v>47.072111166899802</v>
      </c>
      <c r="K132">
        <f t="shared" si="20"/>
        <v>49.852672111795798</v>
      </c>
      <c r="M132" s="22">
        <f t="shared" si="15"/>
        <v>1.2600000000000009</v>
      </c>
      <c r="N132">
        <f t="shared" si="16"/>
        <v>49.570127705971672</v>
      </c>
      <c r="O132">
        <f t="shared" si="12"/>
        <v>0.42987229402832838</v>
      </c>
      <c r="P132">
        <f t="shared" si="17"/>
        <v>2.5776695881140892</v>
      </c>
      <c r="Q132">
        <f t="shared" si="18"/>
        <v>-0.42176860292784113</v>
      </c>
      <c r="R132">
        <f t="shared" si="13"/>
        <v>-6.0066483922262783</v>
      </c>
    </row>
    <row r="133" spans="8:18" x14ac:dyDescent="0.25">
      <c r="H133" s="22">
        <f t="shared" si="14"/>
        <v>1.2700000000000009</v>
      </c>
      <c r="I133" s="15">
        <f t="shared" si="11"/>
        <v>47.0443207152558</v>
      </c>
      <c r="J133">
        <f t="shared" si="19"/>
        <v>47.137315355062938</v>
      </c>
      <c r="K133">
        <f t="shared" si="20"/>
        <v>49.855953109091715</v>
      </c>
      <c r="M133" s="22">
        <f t="shared" si="15"/>
        <v>1.2700000000000009</v>
      </c>
      <c r="N133">
        <f t="shared" si="16"/>
        <v>49.574304412304897</v>
      </c>
      <c r="O133">
        <f t="shared" si="12"/>
        <v>0.42569558769510252</v>
      </c>
      <c r="P133">
        <f t="shared" si="17"/>
        <v>2.5819474275227066</v>
      </c>
      <c r="Q133">
        <f t="shared" si="18"/>
        <v>-0.41767063332258658</v>
      </c>
      <c r="R133">
        <f t="shared" si="13"/>
        <v>-6.0069326177691664</v>
      </c>
    </row>
    <row r="134" spans="8:18" x14ac:dyDescent="0.25">
      <c r="H134" s="22">
        <f t="shared" si="14"/>
        <v>1.2800000000000009</v>
      </c>
      <c r="I134" s="15">
        <f t="shared" si="11"/>
        <v>47.10941626728944</v>
      </c>
      <c r="J134">
        <f t="shared" si="19"/>
        <v>47.201067443642941</v>
      </c>
      <c r="K134">
        <f t="shared" si="20"/>
        <v>49.85916103846148</v>
      </c>
      <c r="M134" s="22">
        <f t="shared" si="15"/>
        <v>1.2800000000000009</v>
      </c>
      <c r="N134">
        <f t="shared" si="16"/>
        <v>49.578440537107198</v>
      </c>
      <c r="O134">
        <f t="shared" si="12"/>
        <v>0.42155946289280166</v>
      </c>
      <c r="P134">
        <f t="shared" si="17"/>
        <v>2.5861837027756462</v>
      </c>
      <c r="Q134">
        <f t="shared" si="18"/>
        <v>-0.41361248023008557</v>
      </c>
      <c r="R134">
        <f t="shared" si="13"/>
        <v>-6.0072140817322941</v>
      </c>
    </row>
    <row r="135" spans="8:18" x14ac:dyDescent="0.25">
      <c r="H135" s="22">
        <f t="shared" si="14"/>
        <v>1.2900000000000009</v>
      </c>
      <c r="I135" s="15">
        <f t="shared" ref="I135:I198" si="21">DEGREES(-2*$E$5/$C$6*$C$9/$C$8*$C$18*(1-EXP(-$C$20*H135)))</f>
        <v>47.173078162120667</v>
      </c>
      <c r="J135">
        <f t="shared" si="19"/>
        <v>47.263399770949029</v>
      </c>
      <c r="K135">
        <f t="shared" si="20"/>
        <v>49.862297527130394</v>
      </c>
      <c r="M135" s="22">
        <f t="shared" si="15"/>
        <v>1.2900000000000009</v>
      </c>
      <c r="N135">
        <f t="shared" si="16"/>
        <v>49.582536474675067</v>
      </c>
      <c r="O135">
        <f t="shared" ref="O135:O198" si="22">$E$7-N135</f>
        <v>0.41746352532493347</v>
      </c>
      <c r="P135">
        <f t="shared" si="17"/>
        <v>2.5903788177167351</v>
      </c>
      <c r="Q135">
        <f t="shared" si="18"/>
        <v>-0.40959375678681909</v>
      </c>
      <c r="R135">
        <f t="shared" ref="R135:R198" si="23">$C$34*O135+$C$35*P135+$C$36*Q135</f>
        <v>-6.0074928109476007</v>
      </c>
    </row>
    <row r="136" spans="8:18" x14ac:dyDescent="0.25">
      <c r="H136" s="22">
        <f t="shared" ref="H136:H172" si="24">H135+$E$8</f>
        <v>1.3000000000000009</v>
      </c>
      <c r="I136" s="15">
        <f t="shared" si="21"/>
        <v>47.235337974456371</v>
      </c>
      <c r="J136">
        <f t="shared" si="19"/>
        <v>47.324343955115125</v>
      </c>
      <c r="K136">
        <f t="shared" si="20"/>
        <v>49.865364166085399</v>
      </c>
      <c r="M136" s="22">
        <f t="shared" ref="M136:M172" si="25">M135+$E$8</f>
        <v>1.3000000000000009</v>
      </c>
      <c r="N136">
        <f t="shared" ref="N136:N199" si="26">N135+$E$8*DEGREES($E$6*$C$5*$C$6^2*$E$5/(4*$C$7)*$C$8*RADIANS(N135)+$E$6*$C$5*$C$6*$E$5^2/(2*$C$7)*$C$9*RADIANS(R135))</f>
        <v>49.58659261547394</v>
      </c>
      <c r="O136">
        <f t="shared" si="22"/>
        <v>0.41340738452606018</v>
      </c>
      <c r="P136">
        <f t="shared" ref="P136:P199" si="27">P135+(O136+O135)*$E$8/2</f>
        <v>2.5945331722659901</v>
      </c>
      <c r="Q136">
        <f t="shared" ref="Q136:Q199" si="28">(O136-O135)/$E$8</f>
        <v>-0.40561407988732867</v>
      </c>
      <c r="R136">
        <f t="shared" si="23"/>
        <v>-6.007768831986354</v>
      </c>
    </row>
    <row r="137" spans="8:18" x14ac:dyDescent="0.25">
      <c r="H137" s="22">
        <f t="shared" si="24"/>
        <v>1.3100000000000009</v>
      </c>
      <c r="I137" s="15">
        <f t="shared" si="21"/>
        <v>47.296226583605574</v>
      </c>
      <c r="J137">
        <f t="shared" ref="J137:J200" si="29">J136+$E$8*DEGREES($E$6*$C$5*$C$6^2*$E$5/(4*$C$7)*$C$8*RADIANS(J136) +$E$6*$C$5*$C$6*$E$5^2/(2*$C$7)*$C$9*$C$18)</f>
        <v>47.383930910138204</v>
      </c>
      <c r="K137">
        <f t="shared" si="20"/>
        <v>49.868362510882108</v>
      </c>
      <c r="M137" s="22">
        <f t="shared" si="25"/>
        <v>1.3100000000000009</v>
      </c>
      <c r="N137">
        <f t="shared" si="26"/>
        <v>49.590609346175455</v>
      </c>
      <c r="O137">
        <f t="shared" si="22"/>
        <v>0.40939065382454487</v>
      </c>
      <c r="P137">
        <f t="shared" si="27"/>
        <v>2.598647162457743</v>
      </c>
      <c r="Q137">
        <f t="shared" si="28"/>
        <v>-0.40167307015153142</v>
      </c>
      <c r="R137">
        <f t="shared" si="23"/>
        <v>-6.008042171161545</v>
      </c>
    </row>
    <row r="138" spans="8:18" x14ac:dyDescent="0.25">
      <c r="H138" s="22">
        <f t="shared" si="24"/>
        <v>1.320000000000001</v>
      </c>
      <c r="I138" s="15">
        <f t="shared" si="21"/>
        <v>47.35577418879484</v>
      </c>
      <c r="J138">
        <f t="shared" si="29"/>
        <v>47.442190861559411</v>
      </c>
      <c r="K138">
        <f t="shared" si="20"/>
        <v>49.871294082433842</v>
      </c>
      <c r="M138" s="22">
        <f t="shared" si="25"/>
        <v>1.320000000000001</v>
      </c>
      <c r="N138">
        <f t="shared" si="26"/>
        <v>49.594587049694255</v>
      </c>
      <c r="O138">
        <f t="shared" si="22"/>
        <v>0.40541295030574531</v>
      </c>
      <c r="P138">
        <f t="shared" si="27"/>
        <v>2.6027211804783943</v>
      </c>
      <c r="Q138">
        <f t="shared" si="28"/>
        <v>-0.3977703518799558</v>
      </c>
      <c r="R138">
        <f t="shared" si="23"/>
        <v>-6.0083128545306801</v>
      </c>
    </row>
    <row r="139" spans="8:18" x14ac:dyDescent="0.25">
      <c r="H139" s="22">
        <f t="shared" si="24"/>
        <v>1.330000000000001</v>
      </c>
      <c r="I139" s="15">
        <f t="shared" si="21"/>
        <v>47.414010324146346</v>
      </c>
      <c r="J139">
        <f t="shared" si="29"/>
        <v>47.499153361796033</v>
      </c>
      <c r="K139">
        <f t="shared" si="20"/>
        <v>49.874160367783141</v>
      </c>
      <c r="M139" s="22">
        <f t="shared" si="25"/>
        <v>1.330000000000001</v>
      </c>
      <c r="N139">
        <f t="shared" si="26"/>
        <v>49.598526105224551</v>
      </c>
      <c r="O139">
        <f t="shared" si="22"/>
        <v>0.40147389477544948</v>
      </c>
      <c r="P139">
        <f t="shared" si="27"/>
        <v>2.6067556147038005</v>
      </c>
      <c r="Q139">
        <f t="shared" si="28"/>
        <v>-0.39390555302958319</v>
      </c>
      <c r="R139">
        <f t="shared" si="23"/>
        <v>-6.0085809078979082</v>
      </c>
    </row>
    <row r="140" spans="8:18" x14ac:dyDescent="0.25">
      <c r="H140" s="22">
        <f t="shared" si="24"/>
        <v>1.340000000000001</v>
      </c>
      <c r="I140" s="15">
        <f t="shared" si="21"/>
        <v>47.470963873325992</v>
      </c>
      <c r="J140">
        <f t="shared" si="29"/>
        <v>47.554847305131965</v>
      </c>
      <c r="K140">
        <f t="shared" si="20"/>
        <v>49.876962820856043</v>
      </c>
      <c r="M140" s="22">
        <f t="shared" si="25"/>
        <v>1.340000000000001</v>
      </c>
      <c r="N140">
        <f t="shared" si="26"/>
        <v>49.602426888276234</v>
      </c>
      <c r="O140">
        <f t="shared" si="22"/>
        <v>0.39757311172376575</v>
      </c>
      <c r="P140">
        <f t="shared" si="27"/>
        <v>2.6107508497362963</v>
      </c>
      <c r="Q140">
        <f t="shared" si="28"/>
        <v>-0.39007830516837316</v>
      </c>
      <c r="R140">
        <f t="shared" si="23"/>
        <v>-6.0088463568167567</v>
      </c>
    </row>
    <row r="141" spans="8:18" x14ac:dyDescent="0.25">
      <c r="H141" s="22">
        <f t="shared" si="24"/>
        <v>1.350000000000001</v>
      </c>
      <c r="I141" s="15">
        <f t="shared" si="21"/>
        <v>47.526663083869096</v>
      </c>
      <c r="J141">
        <f t="shared" si="29"/>
        <v>47.609300942374389</v>
      </c>
      <c r="K141">
        <f t="shared" si="20"/>
        <v>49.879702863199611</v>
      </c>
      <c r="M141" s="22">
        <f t="shared" si="25"/>
        <v>1.350000000000001</v>
      </c>
      <c r="N141">
        <f t="shared" si="26"/>
        <v>49.606289770710681</v>
      </c>
      <c r="O141">
        <f t="shared" si="22"/>
        <v>0.39371022928931865</v>
      </c>
      <c r="P141">
        <f t="shared" si="27"/>
        <v>2.614707266441362</v>
      </c>
      <c r="Q141">
        <f t="shared" si="28"/>
        <v>-0.38628824344471013</v>
      </c>
      <c r="R141">
        <f t="shared" si="23"/>
        <v>-6.009109226592467</v>
      </c>
    </row>
    <row r="142" spans="8:18" x14ac:dyDescent="0.25">
      <c r="H142" s="22">
        <f t="shared" si="24"/>
        <v>1.360000000000001</v>
      </c>
      <c r="I142" s="15">
        <f t="shared" si="21"/>
        <v>47.581135581190345</v>
      </c>
      <c r="J142">
        <f t="shared" si="29"/>
        <v>47.662541895183992</v>
      </c>
      <c r="K142">
        <f t="shared" si="20"/>
        <v>49.882381884703001</v>
      </c>
      <c r="M142" s="22">
        <f t="shared" si="25"/>
        <v>1.360000000000001</v>
      </c>
      <c r="N142">
        <f t="shared" si="26"/>
        <v>49.610115120776207</v>
      </c>
      <c r="O142">
        <f t="shared" si="22"/>
        <v>0.38988487922379278</v>
      </c>
      <c r="P142">
        <f t="shared" si="27"/>
        <v>2.6186252419839273</v>
      </c>
      <c r="Q142">
        <f t="shared" si="28"/>
        <v>-0.38253500655258676</v>
      </c>
      <c r="R142">
        <f t="shared" si="23"/>
        <v>-6.0093695422843885</v>
      </c>
    </row>
    <row r="143" spans="8:18" x14ac:dyDescent="0.25">
      <c r="H143" s="22">
        <f t="shared" si="24"/>
        <v>1.370000000000001</v>
      </c>
      <c r="I143" s="15">
        <f t="shared" si="21"/>
        <v>47.634408382285393</v>
      </c>
      <c r="J143">
        <f t="shared" si="29"/>
        <v>47.714597170086108</v>
      </c>
      <c r="K143">
        <f t="shared" si="20"/>
        <v>49.885001244302494</v>
      </c>
      <c r="M143" s="22">
        <f t="shared" si="25"/>
        <v>1.370000000000001</v>
      </c>
      <c r="N143">
        <f t="shared" si="26"/>
        <v>49.613903303143168</v>
      </c>
      <c r="O143">
        <f t="shared" si="22"/>
        <v>0.38609669685683201</v>
      </c>
      <c r="P143">
        <f t="shared" si="27"/>
        <v>2.6225051498643306</v>
      </c>
      <c r="Q143">
        <f t="shared" si="28"/>
        <v>-0.37881823669607684</v>
      </c>
      <c r="R143">
        <f t="shared" si="23"/>
        <v>-6.0096273287084037</v>
      </c>
    </row>
    <row r="144" spans="8:18" x14ac:dyDescent="0.25">
      <c r="H144" s="22">
        <f t="shared" si="24"/>
        <v>1.380000000000001</v>
      </c>
      <c r="I144" s="15">
        <f t="shared" si="21"/>
        <v>47.686507909130576</v>
      </c>
      <c r="J144">
        <f t="shared" si="29"/>
        <v>47.765493172169798</v>
      </c>
      <c r="K144">
        <f t="shared" si="20"/>
        <v>49.887562270670799</v>
      </c>
      <c r="M144" s="22">
        <f t="shared" si="25"/>
        <v>1.380000000000001</v>
      </c>
      <c r="N144">
        <f t="shared" si="26"/>
        <v>49.617654678938727</v>
      </c>
      <c r="O144">
        <f t="shared" si="22"/>
        <v>0.38234532106127261</v>
      </c>
      <c r="P144">
        <f t="shared" si="27"/>
        <v>2.6263473599539213</v>
      </c>
      <c r="Q144">
        <f t="shared" si="28"/>
        <v>-0.37513757955593974</v>
      </c>
      <c r="R144">
        <f t="shared" si="23"/>
        <v>-6.0098826104392691</v>
      </c>
    </row>
    <row r="145" spans="8:18" x14ac:dyDescent="0.25">
      <c r="H145" s="22">
        <f t="shared" si="24"/>
        <v>1.390000000000001</v>
      </c>
      <c r="I145" s="15">
        <f t="shared" si="21"/>
        <v>47.737460001787547</v>
      </c>
      <c r="J145">
        <f t="shared" si="29"/>
        <v>47.815255718481836</v>
      </c>
      <c r="K145">
        <f t="shared" si="20"/>
        <v>49.89006626289104</v>
      </c>
      <c r="M145" s="22">
        <f t="shared" si="25"/>
        <v>1.390000000000001</v>
      </c>
      <c r="N145">
        <f t="shared" si="26"/>
        <v>49.621369605781283</v>
      </c>
      <c r="O145">
        <f t="shared" si="22"/>
        <v>0.37863039421871747</v>
      </c>
      <c r="P145">
        <f t="shared" si="27"/>
        <v>2.6301522385303211</v>
      </c>
      <c r="Q145">
        <f t="shared" si="28"/>
        <v>-0.3714926842555144</v>
      </c>
      <c r="R145">
        <f t="shared" si="23"/>
        <v>-6.0101354118129668</v>
      </c>
    </row>
    <row r="146" spans="8:18" x14ac:dyDescent="0.25">
      <c r="H146" s="22">
        <f t="shared" si="24"/>
        <v>1.400000000000001</v>
      </c>
      <c r="I146" s="15">
        <f t="shared" si="21"/>
        <v>47.787289931219341</v>
      </c>
      <c r="J146">
        <f t="shared" si="29"/>
        <v>47.863910051122467</v>
      </c>
      <c r="K146">
        <f t="shared" si="20"/>
        <v>49.892514491115719</v>
      </c>
      <c r="M146" s="22">
        <f t="shared" si="25"/>
        <v>1.400000000000001</v>
      </c>
      <c r="N146">
        <f t="shared" si="26"/>
        <v>49.625048437814549</v>
      </c>
      <c r="O146">
        <f t="shared" si="22"/>
        <v>0.37495156218545134</v>
      </c>
      <c r="P146">
        <f t="shared" si="27"/>
        <v>2.6339201483123418</v>
      </c>
      <c r="Q146">
        <f t="shared" si="28"/>
        <v>-0.36788320332661328</v>
      </c>
      <c r="R146">
        <f t="shared" si="23"/>
        <v>-6.010385756929054</v>
      </c>
    </row>
    <row r="147" spans="8:18" x14ac:dyDescent="0.25">
      <c r="H147" s="22">
        <f t="shared" si="24"/>
        <v>1.410000000000001</v>
      </c>
      <c r="I147" s="15">
        <f t="shared" si="21"/>
        <v>47.836022411824096</v>
      </c>
      <c r="J147">
        <f t="shared" si="29"/>
        <v>47.911480850049458</v>
      </c>
      <c r="K147">
        <f t="shared" si="20"/>
        <v>49.894908197211002</v>
      </c>
      <c r="M147" s="22">
        <f t="shared" si="25"/>
        <v>1.410000000000001</v>
      </c>
      <c r="N147">
        <f t="shared" si="26"/>
        <v>49.628691525741331</v>
      </c>
      <c r="O147">
        <f t="shared" si="22"/>
        <v>0.37130847425866875</v>
      </c>
      <c r="P147">
        <f t="shared" si="27"/>
        <v>2.6376514484945623</v>
      </c>
      <c r="Q147">
        <f t="shared" si="28"/>
        <v>-0.36430879267825844</v>
      </c>
      <c r="R147">
        <f t="shared" si="23"/>
        <v>-6.010633669652897</v>
      </c>
    </row>
    <row r="148" spans="8:18" x14ac:dyDescent="0.25">
      <c r="H148" s="22">
        <f t="shared" si="24"/>
        <v>1.420000000000001</v>
      </c>
      <c r="I148" s="15">
        <f t="shared" si="21"/>
        <v>47.883681613692779</v>
      </c>
      <c r="J148">
        <f t="shared" si="29"/>
        <v>47.957992245597048</v>
      </c>
      <c r="K148">
        <f t="shared" si="20"/>
        <v>49.897248595386642</v>
      </c>
      <c r="M148" s="22">
        <f t="shared" si="25"/>
        <v>1.420000000000001</v>
      </c>
      <c r="N148">
        <f t="shared" si="26"/>
        <v>49.63229921685695</v>
      </c>
      <c r="O148">
        <f t="shared" si="22"/>
        <v>0.3677007831430501</v>
      </c>
      <c r="P148">
        <f t="shared" si="27"/>
        <v>2.6413464947815708</v>
      </c>
      <c r="Q148">
        <f t="shared" si="28"/>
        <v>-0.36076911156186497</v>
      </c>
      <c r="R148">
        <f t="shared" si="23"/>
        <v>-6.0108791736180045</v>
      </c>
    </row>
    <row r="149" spans="8:18" x14ac:dyDescent="0.25">
      <c r="H149" s="22">
        <f t="shared" si="24"/>
        <v>1.430000000000001</v>
      </c>
      <c r="I149" s="15">
        <f t="shared" si="21"/>
        <v>47.930291174596981</v>
      </c>
      <c r="J149">
        <f t="shared" si="29"/>
        <v>48.003467830716069</v>
      </c>
      <c r="K149">
        <f t="shared" ref="K149:K212" si="30">K148+$E$8*DEGREES($E$6*$C$5*$C$6^2*$E$5/(4*$C$7)*$C$8*RADIANS(K148) +$E$6*$C$5*$C$6*$E$5^2/(2*$C$7)*$C$9*$C$18)</f>
        <v>49.899536872811893</v>
      </c>
      <c r="M149" s="22">
        <f t="shared" si="25"/>
        <v>1.430000000000001</v>
      </c>
      <c r="N149">
        <f t="shared" si="26"/>
        <v>49.635871855082343</v>
      </c>
      <c r="O149">
        <f t="shared" si="22"/>
        <v>0.36412814491765744</v>
      </c>
      <c r="P149">
        <f t="shared" si="27"/>
        <v>2.6450056394218744</v>
      </c>
      <c r="Q149">
        <f t="shared" si="28"/>
        <v>-0.35726382253926658</v>
      </c>
      <c r="R149">
        <f t="shared" si="23"/>
        <v>-6.0111222922282783</v>
      </c>
    </row>
    <row r="150" spans="8:18" x14ac:dyDescent="0.25">
      <c r="H150" s="22">
        <f t="shared" si="24"/>
        <v>1.4400000000000011</v>
      </c>
      <c r="I150" s="15">
        <f t="shared" si="21"/>
        <v>47.97587421171265</v>
      </c>
      <c r="J150">
        <f t="shared" si="29"/>
        <v>48.047930672941504</v>
      </c>
      <c r="K150">
        <f t="shared" si="30"/>
        <v>49.901774190217722</v>
      </c>
      <c r="M150" s="22">
        <f t="shared" si="25"/>
        <v>1.4400000000000011</v>
      </c>
      <c r="N150">
        <f t="shared" si="26"/>
        <v>49.639409780996878</v>
      </c>
      <c r="O150">
        <f t="shared" si="22"/>
        <v>0.3605902190031216</v>
      </c>
      <c r="P150">
        <f t="shared" si="27"/>
        <v>2.6486292312414781</v>
      </c>
      <c r="Q150">
        <f t="shared" si="28"/>
        <v>-0.35379259145358333</v>
      </c>
      <c r="R150">
        <f t="shared" si="23"/>
        <v>-6.0113630486601277</v>
      </c>
    </row>
    <row r="151" spans="8:18" x14ac:dyDescent="0.25">
      <c r="H151" s="22">
        <f t="shared" si="24"/>
        <v>1.4500000000000011</v>
      </c>
      <c r="I151" s="15">
        <f t="shared" si="21"/>
        <v>48.020453333085577</v>
      </c>
      <c r="J151">
        <f t="shared" si="29"/>
        <v>48.091403326093513</v>
      </c>
      <c r="K151">
        <f t="shared" si="30"/>
        <v>49.903961682485566</v>
      </c>
      <c r="M151" s="22">
        <f t="shared" si="25"/>
        <v>1.4500000000000011</v>
      </c>
      <c r="N151">
        <f t="shared" si="26"/>
        <v>49.64291333187078</v>
      </c>
      <c r="O151">
        <f t="shared" si="22"/>
        <v>0.35708666812922019</v>
      </c>
      <c r="P151">
        <f t="shared" si="27"/>
        <v>2.6522176156771398</v>
      </c>
      <c r="Q151">
        <f t="shared" si="28"/>
        <v>-0.35035508739014176</v>
      </c>
      <c r="R151">
        <f t="shared" si="23"/>
        <v>-6.0116014658649171</v>
      </c>
    </row>
    <row r="152" spans="8:18" x14ac:dyDescent="0.25">
      <c r="H152" s="22">
        <f t="shared" si="24"/>
        <v>1.4600000000000011</v>
      </c>
      <c r="I152" s="15">
        <f t="shared" si="21"/>
        <v>48.064050648844521</v>
      </c>
      <c r="J152">
        <f t="shared" si="29"/>
        <v>48.133907841717885</v>
      </c>
      <c r="K152">
        <f t="shared" si="30"/>
        <v>49.906100459223019</v>
      </c>
      <c r="M152" s="22">
        <f t="shared" si="25"/>
        <v>1.4600000000000011</v>
      </c>
      <c r="N152">
        <f t="shared" si="26"/>
        <v>49.64638284169731</v>
      </c>
      <c r="O152">
        <f t="shared" si="22"/>
        <v>0.35361715830268992</v>
      </c>
      <c r="P152">
        <f t="shared" si="27"/>
        <v>2.6557711348092994</v>
      </c>
      <c r="Q152">
        <f t="shared" si="28"/>
        <v>-0.34695098265302704</v>
      </c>
      <c r="R152">
        <f t="shared" si="23"/>
        <v>-6.0118375665709181</v>
      </c>
    </row>
    <row r="153" spans="8:18" x14ac:dyDescent="0.25">
      <c r="H153" s="22">
        <f t="shared" si="24"/>
        <v>1.4700000000000011</v>
      </c>
      <c r="I153" s="15">
        <f t="shared" si="21"/>
        <v>48.106687782167164</v>
      </c>
      <c r="J153">
        <f t="shared" si="29"/>
        <v>48.175465780271701</v>
      </c>
      <c r="K153">
        <f t="shared" si="30"/>
        <v>49.908191605326671</v>
      </c>
      <c r="M153" s="22">
        <f t="shared" si="25"/>
        <v>1.4700000000000011</v>
      </c>
      <c r="N153">
        <f t="shared" si="26"/>
        <v>49.649818641224606</v>
      </c>
      <c r="O153">
        <f t="shared" si="22"/>
        <v>0.35018135877539436</v>
      </c>
      <c r="P153">
        <f t="shared" si="27"/>
        <v>2.6592901273946898</v>
      </c>
      <c r="Q153">
        <f t="shared" si="28"/>
        <v>-0.34357995272955577</v>
      </c>
      <c r="R153">
        <f t="shared" si="23"/>
        <v>-6.0120713732855773</v>
      </c>
    </row>
    <row r="154" spans="8:18" x14ac:dyDescent="0.25">
      <c r="H154" s="22">
        <f t="shared" si="24"/>
        <v>1.4800000000000011</v>
      </c>
      <c r="I154" s="15">
        <f t="shared" si="21"/>
        <v>48.148385880004767</v>
      </c>
      <c r="J154">
        <f t="shared" si="29"/>
        <v>48.216098222059891</v>
      </c>
      <c r="K154">
        <f t="shared" si="30"/>
        <v>49.910236181532419</v>
      </c>
      <c r="M154" s="22">
        <f t="shared" si="25"/>
        <v>1.4800000000000011</v>
      </c>
      <c r="N154">
        <f t="shared" si="26"/>
        <v>49.653221057987196</v>
      </c>
      <c r="O154">
        <f t="shared" si="22"/>
        <v>0.34677894201280424</v>
      </c>
      <c r="P154">
        <f t="shared" si="27"/>
        <v>2.6627749288986307</v>
      </c>
      <c r="Q154">
        <f t="shared" si="28"/>
        <v>-0.34024167625901214</v>
      </c>
      <c r="R154">
        <f t="shared" si="23"/>
        <v>-6.0123029082976895</v>
      </c>
    </row>
    <row r="155" spans="8:18" x14ac:dyDescent="0.25">
      <c r="H155" s="22">
        <f t="shared" si="24"/>
        <v>1.4900000000000011</v>
      </c>
      <c r="I155" s="15">
        <f t="shared" si="21"/>
        <v>48.189165623570482</v>
      </c>
      <c r="J155">
        <f t="shared" si="29"/>
        <v>48.255825777928258</v>
      </c>
      <c r="K155">
        <f t="shared" si="30"/>
        <v>49.912235224953548</v>
      </c>
      <c r="M155" s="22">
        <f t="shared" si="25"/>
        <v>1.4900000000000011</v>
      </c>
      <c r="N155">
        <f t="shared" si="26"/>
        <v>49.656590416337231</v>
      </c>
      <c r="O155">
        <f t="shared" si="22"/>
        <v>0.34340958366276908</v>
      </c>
      <c r="P155">
        <f t="shared" si="27"/>
        <v>2.6662258715270086</v>
      </c>
      <c r="Q155">
        <f t="shared" si="28"/>
        <v>-0.33693583500351565</v>
      </c>
      <c r="R155">
        <f t="shared" si="23"/>
        <v>-6.0125321936794851</v>
      </c>
    </row>
    <row r="156" spans="8:18" x14ac:dyDescent="0.25">
      <c r="H156" s="22">
        <f t="shared" si="24"/>
        <v>1.5000000000000011</v>
      </c>
      <c r="I156" s="15">
        <f t="shared" si="21"/>
        <v>48.229047238596706</v>
      </c>
      <c r="J156">
        <f t="shared" si="29"/>
        <v>48.294668599718335</v>
      </c>
      <c r="K156">
        <f t="shared" si="30"/>
        <v>49.914189749606784</v>
      </c>
      <c r="M156" s="22">
        <f t="shared" si="25"/>
        <v>1.5000000000000011</v>
      </c>
      <c r="N156">
        <f t="shared" si="26"/>
        <v>49.65992703747542</v>
      </c>
      <c r="O156">
        <f t="shared" si="22"/>
        <v>0.34007296252458019</v>
      </c>
      <c r="P156">
        <f t="shared" si="27"/>
        <v>2.6696432842579454</v>
      </c>
      <c r="Q156">
        <f t="shared" si="28"/>
        <v>-0.33366211381888888</v>
      </c>
      <c r="R156">
        <f t="shared" si="23"/>
        <v>-6.0127592512886734</v>
      </c>
    </row>
    <row r="157" spans="8:18" x14ac:dyDescent="0.25">
      <c r="H157" s="22">
        <f t="shared" si="24"/>
        <v>1.5100000000000011</v>
      </c>
      <c r="I157" s="15">
        <f t="shared" si="21"/>
        <v>48.268050505366567</v>
      </c>
      <c r="J157">
        <f t="shared" si="29"/>
        <v>48.332646390489415</v>
      </c>
      <c r="K157">
        <f t="shared" si="30"/>
        <v>49.916100746926666</v>
      </c>
      <c r="M157" s="22">
        <f t="shared" si="25"/>
        <v>1.5100000000000011</v>
      </c>
      <c r="N157">
        <f t="shared" si="26"/>
        <v>49.663231239481611</v>
      </c>
      <c r="O157">
        <f t="shared" si="22"/>
        <v>0.33676876051838889</v>
      </c>
      <c r="P157">
        <f t="shared" si="27"/>
        <v>2.6730274928731603</v>
      </c>
      <c r="Q157">
        <f t="shared" si="28"/>
        <v>-0.33042020061913036</v>
      </c>
      <c r="R157">
        <f t="shared" si="23"/>
        <v>-6.0129841027707158</v>
      </c>
    </row>
    <row r="158" spans="8:18" x14ac:dyDescent="0.25">
      <c r="H158" s="22">
        <f t="shared" si="24"/>
        <v>1.5200000000000011</v>
      </c>
      <c r="I158" s="15">
        <f t="shared" si="21"/>
        <v>48.306194768524435</v>
      </c>
      <c r="J158">
        <f t="shared" si="29"/>
        <v>48.369778414512986</v>
      </c>
      <c r="K158">
        <f t="shared" si="30"/>
        <v>49.917969186268451</v>
      </c>
      <c r="M158" s="22">
        <f t="shared" si="25"/>
        <v>1.5200000000000011</v>
      </c>
      <c r="N158">
        <f t="shared" si="26"/>
        <v>49.666503337345162</v>
      </c>
      <c r="O158">
        <f t="shared" si="22"/>
        <v>0.33349666265483791</v>
      </c>
      <c r="P158">
        <f t="shared" si="27"/>
        <v>2.6763788199890266</v>
      </c>
      <c r="Q158">
        <f t="shared" si="28"/>
        <v>-0.32720978635509823</v>
      </c>
      <c r="R158">
        <f t="shared" si="23"/>
        <v>-6.0132067695606271</v>
      </c>
    </row>
    <row r="159" spans="8:18" x14ac:dyDescent="0.25">
      <c r="H159" s="22">
        <f t="shared" si="24"/>
        <v>1.5300000000000011</v>
      </c>
      <c r="I159" s="15">
        <f t="shared" si="21"/>
        <v>48.343498946670366</v>
      </c>
      <c r="J159">
        <f t="shared" si="29"/>
        <v>48.406083507044507</v>
      </c>
      <c r="K159">
        <f t="shared" si="30"/>
        <v>49.919796015399825</v>
      </c>
      <c r="M159" s="22">
        <f t="shared" si="25"/>
        <v>1.5300000000000011</v>
      </c>
      <c r="N159">
        <f t="shared" si="26"/>
        <v>49.669743642994931</v>
      </c>
      <c r="O159">
        <f t="shared" si="22"/>
        <v>0.33025635700506939</v>
      </c>
      <c r="P159">
        <f t="shared" si="27"/>
        <v>2.6796975850873261</v>
      </c>
      <c r="Q159">
        <f t="shared" si="28"/>
        <v>-0.32403056497685157</v>
      </c>
      <c r="R159">
        <f t="shared" si="23"/>
        <v>-6.013427272885254</v>
      </c>
    </row>
    <row r="160" spans="8:18" x14ac:dyDescent="0.25">
      <c r="H160" s="22">
        <f t="shared" si="24"/>
        <v>1.5400000000000011</v>
      </c>
      <c r="I160" s="15">
        <f t="shared" si="21"/>
        <v>48.379981541743312</v>
      </c>
      <c r="J160">
        <f t="shared" si="29"/>
        <v>48.441580083877632</v>
      </c>
      <c r="K160">
        <f t="shared" si="30"/>
        <v>49.921582160981643</v>
      </c>
      <c r="M160" s="22">
        <f t="shared" si="25"/>
        <v>1.5400000000000011</v>
      </c>
      <c r="N160">
        <f t="shared" si="26"/>
        <v>49.67295246532904</v>
      </c>
      <c r="O160">
        <f t="shared" si="22"/>
        <v>0.32704753467096026</v>
      </c>
      <c r="P160">
        <f t="shared" si="27"/>
        <v>2.6829841045457061</v>
      </c>
      <c r="Q160">
        <f t="shared" si="28"/>
        <v>-0.32088223341091293</v>
      </c>
      <c r="R160">
        <f t="shared" si="23"/>
        <v>-6.0136456337651145</v>
      </c>
    </row>
    <row r="161" spans="8:18" x14ac:dyDescent="0.25">
      <c r="H161" s="22">
        <f t="shared" si="24"/>
        <v>1.5500000000000012</v>
      </c>
      <c r="I161" s="15">
        <f t="shared" si="21"/>
        <v>48.415660648197523</v>
      </c>
      <c r="J161">
        <f t="shared" si="29"/>
        <v>48.476286150685652</v>
      </c>
      <c r="K161">
        <f t="shared" si="30"/>
        <v>49.923328529038002</v>
      </c>
      <c r="M161" s="22">
        <f t="shared" si="25"/>
        <v>1.5500000000000012</v>
      </c>
      <c r="N161">
        <f t="shared" si="26"/>
        <v>49.676130110244287</v>
      </c>
      <c r="O161">
        <f t="shared" si="22"/>
        <v>0.32386988975571285</v>
      </c>
      <c r="P161">
        <f t="shared" si="27"/>
        <v>2.6862386916678394</v>
      </c>
      <c r="Q161">
        <f t="shared" si="28"/>
        <v>-0.31776449152474129</v>
      </c>
      <c r="R161">
        <f t="shared" si="23"/>
        <v>-6.0138618730166096</v>
      </c>
    </row>
    <row r="162" spans="8:18" x14ac:dyDescent="0.25">
      <c r="H162" s="22">
        <f t="shared" si="24"/>
        <v>1.5600000000000012</v>
      </c>
      <c r="I162" s="15">
        <f t="shared" si="21"/>
        <v>48.450553961977029</v>
      </c>
      <c r="J162">
        <f t="shared" si="29"/>
        <v>48.510219312154859</v>
      </c>
      <c r="K162">
        <f t="shared" si="30"/>
        <v>49.925036005415805</v>
      </c>
      <c r="M162" s="22">
        <f t="shared" si="25"/>
        <v>1.5600000000000012</v>
      </c>
      <c r="N162">
        <f t="shared" si="26"/>
        <v>49.679276880665356</v>
      </c>
      <c r="O162">
        <f t="shared" si="22"/>
        <v>0.32072311933464448</v>
      </c>
      <c r="P162">
        <f t="shared" si="27"/>
        <v>2.689461656713291</v>
      </c>
      <c r="Q162">
        <f t="shared" si="28"/>
        <v>-0.31467704210683678</v>
      </c>
      <c r="R162">
        <f t="shared" si="23"/>
        <v>-6.0140760112537341</v>
      </c>
    </row>
    <row r="163" spans="8:18" x14ac:dyDescent="0.25">
      <c r="H163" s="22">
        <f t="shared" si="24"/>
        <v>1.5700000000000012</v>
      </c>
      <c r="I163" s="15">
        <f t="shared" si="21"/>
        <v>48.484678789292374</v>
      </c>
      <c r="J163">
        <f t="shared" si="29"/>
        <v>48.543396780914563</v>
      </c>
      <c r="K163">
        <f t="shared" si="30"/>
        <v>49.92670545623411</v>
      </c>
      <c r="M163" s="22">
        <f t="shared" si="25"/>
        <v>1.5700000000000012</v>
      </c>
      <c r="N163">
        <f t="shared" si="26"/>
        <v>49.682393076573639</v>
      </c>
      <c r="O163">
        <f t="shared" si="22"/>
        <v>0.31760692342636077</v>
      </c>
      <c r="P163">
        <f t="shared" si="27"/>
        <v>2.6926533069270961</v>
      </c>
      <c r="Q163">
        <f t="shared" si="28"/>
        <v>-0.31161959082837143</v>
      </c>
      <c r="R163">
        <f t="shared" si="23"/>
        <v>-6.0142880688903464</v>
      </c>
    </row>
    <row r="164" spans="8:18" x14ac:dyDescent="0.25">
      <c r="H164" s="22">
        <f t="shared" si="24"/>
        <v>1.5800000000000012</v>
      </c>
      <c r="I164" s="15">
        <f t="shared" si="21"/>
        <v>48.518052055204016</v>
      </c>
      <c r="J164">
        <f t="shared" si="29"/>
        <v>48.575835386268203</v>
      </c>
      <c r="K164">
        <f t="shared" si="30"/>
        <v>49.928337728323477</v>
      </c>
      <c r="M164" s="22">
        <f t="shared" si="25"/>
        <v>1.5800000000000012</v>
      </c>
      <c r="N164">
        <f t="shared" si="26"/>
        <v>49.685478995035886</v>
      </c>
      <c r="O164">
        <f t="shared" si="22"/>
        <v>0.31452100496411362</v>
      </c>
      <c r="P164">
        <f t="shared" si="27"/>
        <v>2.6958139465690487</v>
      </c>
      <c r="Q164">
        <f t="shared" si="28"/>
        <v>-0.30859184622471503</v>
      </c>
      <c r="R164">
        <f t="shared" si="23"/>
        <v>-6.0144980661418304</v>
      </c>
    </row>
    <row r="165" spans="8:18" x14ac:dyDescent="0.25">
      <c r="H165" s="22">
        <f t="shared" si="24"/>
        <v>1.5900000000000012</v>
      </c>
      <c r="I165" s="15">
        <f t="shared" si="21"/>
        <v>48.550690312016769</v>
      </c>
      <c r="J165">
        <f t="shared" si="29"/>
        <v>48.607551582730046</v>
      </c>
      <c r="K165">
        <f t="shared" si="30"/>
        <v>49.929933649655517</v>
      </c>
      <c r="M165" s="22">
        <f t="shared" si="25"/>
        <v>1.5900000000000012</v>
      </c>
      <c r="N165">
        <f t="shared" si="26"/>
        <v>49.688534930232493</v>
      </c>
      <c r="O165">
        <f t="shared" si="22"/>
        <v>0.31146506976750743</v>
      </c>
      <c r="P165">
        <f t="shared" si="27"/>
        <v>2.6989438769427068</v>
      </c>
      <c r="Q165">
        <f t="shared" si="28"/>
        <v>-0.30559351966061854</v>
      </c>
      <c r="R165">
        <f t="shared" si="23"/>
        <v>-6.014706023027216</v>
      </c>
    </row>
    <row r="166" spans="8:18" x14ac:dyDescent="0.25">
      <c r="H166" s="22">
        <f t="shared" si="24"/>
        <v>1.6000000000000012</v>
      </c>
      <c r="I166" s="15">
        <f t="shared" si="21"/>
        <v>48.582609747489322</v>
      </c>
      <c r="J166">
        <f t="shared" si="29"/>
        <v>48.63856145837174</v>
      </c>
      <c r="K166">
        <f t="shared" si="30"/>
        <v>49.931494029762888</v>
      </c>
      <c r="M166" s="22">
        <f t="shared" si="25"/>
        <v>1.6000000000000012</v>
      </c>
      <c r="N166">
        <f t="shared" si="26"/>
        <v>49.691561173485539</v>
      </c>
      <c r="O166">
        <f t="shared" si="22"/>
        <v>0.30843882651446108</v>
      </c>
      <c r="P166">
        <f t="shared" si="27"/>
        <v>2.7020433964241164</v>
      </c>
      <c r="Q166">
        <f t="shared" si="28"/>
        <v>-0.30262432530463457</v>
      </c>
      <c r="R166">
        <f t="shared" si="23"/>
        <v>-6.0149119593710623</v>
      </c>
    </row>
    <row r="167" spans="8:18" x14ac:dyDescent="0.25">
      <c r="H167" s="22">
        <f t="shared" si="24"/>
        <v>1.6100000000000012</v>
      </c>
      <c r="I167" s="15">
        <f t="shared" si="21"/>
        <v>48.61382619286298</v>
      </c>
      <c r="J167">
        <f t="shared" si="29"/>
        <v>48.668880742982992</v>
      </c>
      <c r="K167">
        <f t="shared" si="30"/>
        <v>49.933019660149924</v>
      </c>
      <c r="M167" s="22">
        <f t="shared" si="25"/>
        <v>1.6100000000000012</v>
      </c>
      <c r="N167">
        <f t="shared" si="26"/>
        <v>49.694558013286596</v>
      </c>
      <c r="O167">
        <f t="shared" si="22"/>
        <v>0.30544198671340439</v>
      </c>
      <c r="P167">
        <f t="shared" si="27"/>
        <v>2.7051128004902556</v>
      </c>
      <c r="Q167">
        <f t="shared" si="28"/>
        <v>-0.29968398010566943</v>
      </c>
      <c r="R167">
        <f t="shared" si="23"/>
        <v>-6.0151158948052066</v>
      </c>
    </row>
    <row r="168" spans="8:18" x14ac:dyDescent="0.25">
      <c r="H168" s="22">
        <f t="shared" si="24"/>
        <v>1.6200000000000012</v>
      </c>
      <c r="I168" s="15">
        <f t="shared" si="21"/>
        <v>48.644355130713542</v>
      </c>
      <c r="J168">
        <f t="shared" si="29"/>
        <v>48.698524816050551</v>
      </c>
      <c r="K168">
        <f t="shared" si="30"/>
        <v>49.934511314694127</v>
      </c>
      <c r="M168" s="22">
        <f t="shared" si="25"/>
        <v>1.6200000000000012</v>
      </c>
      <c r="N168">
        <f t="shared" si="26"/>
        <v>49.697525735324191</v>
      </c>
      <c r="O168">
        <f t="shared" si="22"/>
        <v>0.30247426467580851</v>
      </c>
      <c r="P168">
        <f t="shared" si="27"/>
        <v>2.7081523817472015</v>
      </c>
      <c r="Q168">
        <f t="shared" si="28"/>
        <v>-0.29677220375958768</v>
      </c>
      <c r="R168">
        <f t="shared" si="23"/>
        <v>-6.0153178487708283</v>
      </c>
    </row>
    <row r="169" spans="8:18" x14ac:dyDescent="0.25">
      <c r="H169" s="22">
        <f t="shared" si="24"/>
        <v>1.6300000000000012</v>
      </c>
      <c r="I169" s="15">
        <f t="shared" si="21"/>
        <v>48.674211702630267</v>
      </c>
      <c r="J169">
        <f t="shared" si="29"/>
        <v>48.727508714559441</v>
      </c>
      <c r="K169">
        <f t="shared" si="30"/>
        <v>49.935969750038723</v>
      </c>
      <c r="M169" s="22">
        <f t="shared" si="25"/>
        <v>1.6300000000000012</v>
      </c>
      <c r="N169">
        <f t="shared" si="26"/>
        <v>49.700464622511056</v>
      </c>
      <c r="O169">
        <f t="shared" si="22"/>
        <v>0.29953537748894377</v>
      </c>
      <c r="P169">
        <f t="shared" si="27"/>
        <v>2.7111624299580255</v>
      </c>
      <c r="Q169">
        <f t="shared" si="28"/>
        <v>-0.2938887186864747</v>
      </c>
      <c r="R169">
        <f t="shared" si="23"/>
        <v>-6.015517840520209</v>
      </c>
    </row>
    <row r="170" spans="8:18" x14ac:dyDescent="0.25">
      <c r="H170" s="22">
        <f t="shared" si="24"/>
        <v>1.6400000000000012</v>
      </c>
      <c r="I170" s="15">
        <f t="shared" si="21"/>
        <v>48.70341071672577</v>
      </c>
      <c r="J170">
        <f t="shared" si="29"/>
        <v>48.755847140620503</v>
      </c>
      <c r="K170">
        <f t="shared" si="30"/>
        <v>49.937395705976463</v>
      </c>
      <c r="M170" s="22">
        <f t="shared" si="25"/>
        <v>1.6400000000000012</v>
      </c>
      <c r="N170">
        <f t="shared" si="26"/>
        <v>49.703374955011114</v>
      </c>
      <c r="O170">
        <f t="shared" si="22"/>
        <v>0.29662504498888609</v>
      </c>
      <c r="P170">
        <f t="shared" si="27"/>
        <v>2.7141432320704144</v>
      </c>
      <c r="Q170">
        <f t="shared" si="28"/>
        <v>-0.29103325000576774</v>
      </c>
      <c r="R170">
        <f t="shared" si="23"/>
        <v>-6.0157158891184856</v>
      </c>
    </row>
    <row r="171" spans="8:18" x14ac:dyDescent="0.25">
      <c r="H171" s="22">
        <f t="shared" si="24"/>
        <v>1.6500000000000012</v>
      </c>
      <c r="I171" s="15">
        <f t="shared" si="21"/>
        <v>48.73196665498039</v>
      </c>
      <c r="J171">
        <f t="shared" si="29"/>
        <v>48.783554468928045</v>
      </c>
      <c r="K171">
        <f t="shared" si="30"/>
        <v>49.938789905824898</v>
      </c>
      <c r="M171" s="22">
        <f t="shared" si="25"/>
        <v>1.6500000000000012</v>
      </c>
      <c r="N171">
        <f t="shared" si="26"/>
        <v>49.70625701026615</v>
      </c>
      <c r="O171">
        <f t="shared" si="22"/>
        <v>0.29374298973385038</v>
      </c>
      <c r="P171">
        <f t="shared" si="27"/>
        <v>2.7170950722440281</v>
      </c>
      <c r="Q171">
        <f t="shared" si="28"/>
        <v>-0.28820552550357093</v>
      </c>
      <c r="R171">
        <f t="shared" si="23"/>
        <v>-6.0159120134456856</v>
      </c>
    </row>
    <row r="172" spans="8:18" x14ac:dyDescent="0.25">
      <c r="H172" s="22">
        <f t="shared" si="24"/>
        <v>1.6600000000000013</v>
      </c>
      <c r="I172" s="15">
        <f t="shared" si="21"/>
        <v>48.759893680424987</v>
      </c>
      <c r="J172">
        <f t="shared" si="29"/>
        <v>48.810644754051417</v>
      </c>
      <c r="K172">
        <f t="shared" si="30"/>
        <v>49.94015305679325</v>
      </c>
      <c r="M172" s="22">
        <f t="shared" si="25"/>
        <v>1.6600000000000013</v>
      </c>
      <c r="N172">
        <f t="shared" si="26"/>
        <v>49.709111063022291</v>
      </c>
      <c r="O172">
        <f t="shared" si="22"/>
        <v>0.29088893697770857</v>
      </c>
      <c r="P172">
        <f t="shared" si="27"/>
        <v>2.7200182318775861</v>
      </c>
      <c r="Q172">
        <f t="shared" si="28"/>
        <v>-0.28540527561418116</v>
      </c>
      <c r="R172">
        <f t="shared" si="23"/>
        <v>-6.0161062321983056</v>
      </c>
    </row>
    <row r="173" spans="8:18" x14ac:dyDescent="0.25">
      <c r="H173" s="22">
        <f>H172+$E$8</f>
        <v>1.6700000000000013</v>
      </c>
      <c r="I173" s="15">
        <f t="shared" si="21"/>
        <v>48.787205644165361</v>
      </c>
      <c r="J173">
        <f t="shared" si="29"/>
        <v>48.837131737564221</v>
      </c>
      <c r="K173">
        <f t="shared" si="30"/>
        <v>49.941485850341188</v>
      </c>
      <c r="M173" s="22">
        <f>M172+$E$8</f>
        <v>1.6700000000000013</v>
      </c>
      <c r="N173">
        <f t="shared" si="26"/>
        <v>49.711937385356201</v>
      </c>
      <c r="O173">
        <f t="shared" si="22"/>
        <v>0.28806261464379901</v>
      </c>
      <c r="P173">
        <f t="shared" si="27"/>
        <v>2.7229129896356934</v>
      </c>
      <c r="Q173">
        <f t="shared" si="28"/>
        <v>-0.28263223339095589</v>
      </c>
      <c r="R173">
        <f t="shared" si="23"/>
        <v>-6.0162985638911657</v>
      </c>
    </row>
    <row r="174" spans="8:18" x14ac:dyDescent="0.25">
      <c r="H174" s="22">
        <f t="shared" ref="H174:H237" si="31">H173+$E$8</f>
        <v>1.6800000000000013</v>
      </c>
      <c r="I174" s="15">
        <f t="shared" si="21"/>
        <v>48.81391609225215</v>
      </c>
      <c r="J174">
        <f t="shared" si="29"/>
        <v>48.863028855014718</v>
      </c>
      <c r="K174">
        <f t="shared" si="30"/>
        <v>49.942788962529541</v>
      </c>
      <c r="M174" s="22">
        <f t="shared" ref="M174:M237" si="32">M173+$E$8</f>
        <v>1.6800000000000013</v>
      </c>
      <c r="N174">
        <f t="shared" si="26"/>
        <v>49.71473624670098</v>
      </c>
      <c r="O174">
        <f t="shared" si="22"/>
        <v>0.2852637532990201</v>
      </c>
      <c r="P174">
        <f t="shared" si="27"/>
        <v>2.7257796214754073</v>
      </c>
      <c r="Q174">
        <f t="shared" si="28"/>
        <v>-0.27988613447789135</v>
      </c>
      <c r="R174">
        <f t="shared" si="23"/>
        <v>-6.016489026859297</v>
      </c>
    </row>
    <row r="175" spans="8:18" x14ac:dyDescent="0.25">
      <c r="H175" s="22">
        <f t="shared" si="31"/>
        <v>1.6900000000000013</v>
      </c>
      <c r="I175" s="15">
        <f t="shared" si="21"/>
        <v>48.840038272399219</v>
      </c>
      <c r="J175">
        <f t="shared" si="29"/>
        <v>48.888349242741043</v>
      </c>
      <c r="K175">
        <f t="shared" si="30"/>
        <v>49.944063054363241</v>
      </c>
      <c r="M175" s="22">
        <f t="shared" si="32"/>
        <v>1.6900000000000013</v>
      </c>
      <c r="N175">
        <f t="shared" si="26"/>
        <v>49.717507913871891</v>
      </c>
      <c r="O175">
        <f t="shared" si="22"/>
        <v>0.28249208612810861</v>
      </c>
      <c r="P175">
        <f t="shared" si="27"/>
        <v>2.7286184006725431</v>
      </c>
      <c r="Q175">
        <f t="shared" si="28"/>
        <v>-0.27716671709114848</v>
      </c>
      <c r="R175">
        <f t="shared" si="23"/>
        <v>-6.0166776392594805</v>
      </c>
    </row>
    <row r="176" spans="8:18" x14ac:dyDescent="0.25">
      <c r="H176" s="22">
        <f t="shared" si="31"/>
        <v>1.7000000000000013</v>
      </c>
      <c r="I176" s="15">
        <f t="shared" si="21"/>
        <v>48.865585140554295</v>
      </c>
      <c r="J176">
        <f t="shared" si="29"/>
        <v>48.913105744534612</v>
      </c>
      <c r="K176">
        <f t="shared" si="30"/>
        <v>49.945308772126616</v>
      </c>
      <c r="M176" s="22">
        <f t="shared" si="32"/>
        <v>1.7000000000000013</v>
      </c>
      <c r="N176">
        <f t="shared" si="26"/>
        <v>49.720252651091776</v>
      </c>
      <c r="O176">
        <f t="shared" si="22"/>
        <v>0.27974734890822361</v>
      </c>
      <c r="P176">
        <f t="shared" si="27"/>
        <v>2.731429597847725</v>
      </c>
      <c r="Q176">
        <f t="shared" si="28"/>
        <v>-0.27447372198849962</v>
      </c>
      <c r="R176">
        <f t="shared" si="23"/>
        <v>-6.0168644190721272</v>
      </c>
    </row>
    <row r="177" spans="8:18" x14ac:dyDescent="0.25">
      <c r="H177" s="22">
        <f t="shared" si="31"/>
        <v>1.7100000000000013</v>
      </c>
      <c r="I177" s="15">
        <f t="shared" si="21"/>
        <v>48.890569367324751</v>
      </c>
      <c r="J177">
        <f t="shared" si="29"/>
        <v>48.937310918155141</v>
      </c>
      <c r="K177">
        <f t="shared" si="30"/>
        <v>49.946526747711211</v>
      </c>
      <c r="M177" s="22">
        <f t="shared" si="32"/>
        <v>1.7100000000000013</v>
      </c>
      <c r="N177">
        <f t="shared" si="26"/>
        <v>49.722970720016242</v>
      </c>
      <c r="O177">
        <f t="shared" si="22"/>
        <v>0.2770292799837577</v>
      </c>
      <c r="P177">
        <f t="shared" si="27"/>
        <v>2.7342134809921848</v>
      </c>
      <c r="Q177">
        <f t="shared" si="28"/>
        <v>-0.27180689244659106</v>
      </c>
      <c r="R177">
        <f t="shared" si="23"/>
        <v>-6.0170493841029531</v>
      </c>
    </row>
    <row r="178" spans="8:18" x14ac:dyDescent="0.25">
      <c r="H178" s="22">
        <f t="shared" si="31"/>
        <v>1.7200000000000013</v>
      </c>
      <c r="I178" s="15">
        <f t="shared" si="21"/>
        <v>48.915003344261891</v>
      </c>
      <c r="J178">
        <f t="shared" si="29"/>
        <v>48.960977041700602</v>
      </c>
      <c r="K178">
        <f t="shared" si="30"/>
        <v>49.947717598936336</v>
      </c>
      <c r="M178" s="22">
        <f t="shared" si="32"/>
        <v>1.7200000000000013</v>
      </c>
      <c r="N178">
        <f t="shared" si="26"/>
        <v>49.725662379758617</v>
      </c>
      <c r="O178">
        <f t="shared" si="22"/>
        <v>0.27433762024138275</v>
      </c>
      <c r="P178">
        <f t="shared" si="27"/>
        <v>2.7369703154933105</v>
      </c>
      <c r="Q178">
        <f t="shared" si="28"/>
        <v>-0.26916597423749522</v>
      </c>
      <c r="R178">
        <f t="shared" si="23"/>
        <v>-6.0172325519846366</v>
      </c>
    </row>
    <row r="179" spans="8:18" x14ac:dyDescent="0.25">
      <c r="H179" s="22">
        <f t="shared" si="31"/>
        <v>1.7300000000000013</v>
      </c>
      <c r="I179" s="15">
        <f t="shared" si="21"/>
        <v>48.938899190006879</v>
      </c>
      <c r="J179">
        <f t="shared" si="29"/>
        <v>48.984116119835285</v>
      </c>
      <c r="K179">
        <f t="shared" si="30"/>
        <v>49.948881929862438</v>
      </c>
      <c r="M179" s="22">
        <f t="shared" si="32"/>
        <v>1.7300000000000013</v>
      </c>
      <c r="N179">
        <f t="shared" si="26"/>
        <v>49.728327886914627</v>
      </c>
      <c r="O179">
        <f t="shared" si="22"/>
        <v>0.27167211308537276</v>
      </c>
      <c r="P179">
        <f t="shared" si="27"/>
        <v>2.7397003641599444</v>
      </c>
      <c r="Q179">
        <f t="shared" si="28"/>
        <v>-0.26655071560099941</v>
      </c>
      <c r="R179">
        <f t="shared" si="23"/>
        <v>-6.0174139401786144</v>
      </c>
    </row>
    <row r="180" spans="8:18" x14ac:dyDescent="0.25">
      <c r="H180" s="22">
        <f t="shared" si="31"/>
        <v>1.7400000000000013</v>
      </c>
      <c r="I180" s="15">
        <f t="shared" si="21"/>
        <v>48.962268756301285</v>
      </c>
      <c r="J180">
        <f t="shared" si="29"/>
        <v>49.006739889879185</v>
      </c>
      <c r="K180">
        <f t="shared" si="30"/>
        <v>49.950020331097519</v>
      </c>
      <c r="M180" s="22">
        <f t="shared" si="32"/>
        <v>1.7400000000000013</v>
      </c>
      <c r="N180">
        <f t="shared" si="26"/>
        <v>49.730967495586896</v>
      </c>
      <c r="O180">
        <f t="shared" si="22"/>
        <v>0.26903250441310433</v>
      </c>
      <c r="P180">
        <f t="shared" si="27"/>
        <v>2.7424038872474368</v>
      </c>
      <c r="Q180">
        <f t="shared" si="28"/>
        <v>-0.26396086722684231</v>
      </c>
      <c r="R180">
        <f t="shared" si="23"/>
        <v>-6.0175935659765454</v>
      </c>
    </row>
    <row r="181" spans="8:18" x14ac:dyDescent="0.25">
      <c r="H181" s="22">
        <f t="shared" si="31"/>
        <v>1.7500000000000013</v>
      </c>
      <c r="I181" s="15">
        <f t="shared" si="21"/>
        <v>48.985123633865236</v>
      </c>
      <c r="J181">
        <f t="shared" si="29"/>
        <v>49.028859827761757</v>
      </c>
      <c r="K181">
        <f t="shared" si="30"/>
        <v>49.951133380096721</v>
      </c>
      <c r="M181" s="22">
        <f t="shared" si="32"/>
        <v>1.7500000000000013</v>
      </c>
      <c r="N181">
        <f t="shared" si="26"/>
        <v>49.73358145740913</v>
      </c>
      <c r="O181">
        <f t="shared" si="22"/>
        <v>0.26641854259086983</v>
      </c>
      <c r="P181">
        <f t="shared" si="27"/>
        <v>2.7450811424824568</v>
      </c>
      <c r="Q181">
        <f t="shared" si="28"/>
        <v>-0.26139618222345007</v>
      </c>
      <c r="R181">
        <f t="shared" si="23"/>
        <v>-6.0177714465021843</v>
      </c>
    </row>
    <row r="182" spans="8:18" x14ac:dyDescent="0.25">
      <c r="H182" s="22">
        <f t="shared" si="31"/>
        <v>1.7600000000000013</v>
      </c>
      <c r="I182" s="15">
        <f t="shared" si="21"/>
        <v>49.007475158146107</v>
      </c>
      <c r="J182">
        <f t="shared" si="29"/>
        <v>49.050487153843108</v>
      </c>
      <c r="K182">
        <f t="shared" si="30"/>
        <v>49.952221641455232</v>
      </c>
      <c r="M182" s="22">
        <f t="shared" si="32"/>
        <v>1.7600000000000013</v>
      </c>
      <c r="N182">
        <f t="shared" si="26"/>
        <v>49.736170021570132</v>
      </c>
      <c r="O182">
        <f t="shared" si="22"/>
        <v>0.26382997842986811</v>
      </c>
      <c r="P182">
        <f t="shared" si="27"/>
        <v>2.7477323850875606</v>
      </c>
      <c r="Q182">
        <f t="shared" si="28"/>
        <v>-0.25885641610017274</v>
      </c>
      <c r="R182">
        <f t="shared" si="23"/>
        <v>-6.0179475987128539</v>
      </c>
    </row>
    <row r="183" spans="8:18" x14ac:dyDescent="0.25">
      <c r="H183" s="22">
        <f t="shared" si="31"/>
        <v>1.7700000000000014</v>
      </c>
      <c r="I183" s="15">
        <f t="shared" si="21"/>
        <v>49.029334414940664</v>
      </c>
      <c r="J183">
        <f t="shared" si="29"/>
        <v>49.071632838605524</v>
      </c>
      <c r="K183">
        <f t="shared" si="30"/>
        <v>49.953285667194685</v>
      </c>
      <c r="M183" s="22">
        <f t="shared" si="32"/>
        <v>1.7700000000000014</v>
      </c>
      <c r="N183">
        <f t="shared" si="26"/>
        <v>49.738733434837535</v>
      </c>
      <c r="O183">
        <f t="shared" si="22"/>
        <v>0.26126656516246527</v>
      </c>
      <c r="P183">
        <f t="shared" si="27"/>
        <v>2.7503578678055223</v>
      </c>
      <c r="Q183">
        <f t="shared" si="28"/>
        <v>-0.25634132674028365</v>
      </c>
      <c r="R183">
        <f t="shared" si="23"/>
        <v>-6.0181220394011694</v>
      </c>
    </row>
    <row r="184" spans="8:18" x14ac:dyDescent="0.25">
      <c r="H184" s="22">
        <f t="shared" si="31"/>
        <v>1.7800000000000014</v>
      </c>
      <c r="I184" s="15">
        <f t="shared" si="21"/>
        <v>49.050712245893301</v>
      </c>
      <c r="J184">
        <f t="shared" si="29"/>
        <v>49.092307608218256</v>
      </c>
      <c r="K184">
        <f t="shared" si="30"/>
        <v>49.954325997043178</v>
      </c>
      <c r="M184" s="22">
        <f t="shared" si="32"/>
        <v>1.7800000000000014</v>
      </c>
      <c r="N184">
        <f t="shared" si="26"/>
        <v>49.74127194158136</v>
      </c>
      <c r="O184">
        <f t="shared" si="22"/>
        <v>0.25872805841864022</v>
      </c>
      <c r="P184">
        <f t="shared" si="27"/>
        <v>2.7529578409234277</v>
      </c>
      <c r="Q184">
        <f t="shared" si="28"/>
        <v>-0.2538506743825053</v>
      </c>
      <c r="R184">
        <f t="shared" si="23"/>
        <v>-6.0182947851964856</v>
      </c>
    </row>
    <row r="185" spans="8:18" x14ac:dyDescent="0.25">
      <c r="H185" s="22">
        <f t="shared" si="31"/>
        <v>1.7900000000000014</v>
      </c>
      <c r="I185" s="15">
        <f t="shared" si="21"/>
        <v>49.071619253873259</v>
      </c>
      <c r="J185">
        <f t="shared" si="29"/>
        <v>49.112521949978394</v>
      </c>
      <c r="K185">
        <f t="shared" si="30"/>
        <v>49.955343158709049</v>
      </c>
      <c r="M185" s="22">
        <f t="shared" si="32"/>
        <v>1.7900000000000014</v>
      </c>
      <c r="N185">
        <f t="shared" si="26"/>
        <v>49.743785783797271</v>
      </c>
      <c r="O185">
        <f t="shared" si="22"/>
        <v>0.25621421620272855</v>
      </c>
      <c r="P185">
        <f t="shared" si="27"/>
        <v>2.7555325522965344</v>
      </c>
      <c r="Q185">
        <f t="shared" si="28"/>
        <v>-0.25138422159116658</v>
      </c>
      <c r="R185">
        <f t="shared" si="23"/>
        <v>-6.0184658525667025</v>
      </c>
    </row>
    <row r="186" spans="8:18" x14ac:dyDescent="0.25">
      <c r="H186" s="22">
        <f t="shared" si="31"/>
        <v>1.8000000000000014</v>
      </c>
      <c r="I186" s="15">
        <f t="shared" si="21"/>
        <v>49.09206580823335</v>
      </c>
      <c r="J186">
        <f t="shared" si="29"/>
        <v>49.132286117630549</v>
      </c>
      <c r="K186">
        <f t="shared" si="30"/>
        <v>49.956337668148542</v>
      </c>
      <c r="M186" s="22">
        <f t="shared" si="32"/>
        <v>1.8000000000000014</v>
      </c>
      <c r="N186">
        <f t="shared" si="26"/>
        <v>49.746275201129684</v>
      </c>
      <c r="O186">
        <f t="shared" si="22"/>
        <v>0.25372479887031574</v>
      </c>
      <c r="P186">
        <f t="shared" si="27"/>
        <v>2.7580822473718998</v>
      </c>
      <c r="Q186">
        <f t="shared" si="28"/>
        <v>-0.24894173324128133</v>
      </c>
      <c r="R186">
        <f t="shared" si="23"/>
        <v>-6.0186352578196054</v>
      </c>
    </row>
    <row r="187" spans="8:18" x14ac:dyDescent="0.25">
      <c r="H187" s="22">
        <f t="shared" si="31"/>
        <v>1.8100000000000014</v>
      </c>
      <c r="I187" s="15">
        <f t="shared" si="21"/>
        <v>49.112062049952918</v>
      </c>
      <c r="J187">
        <f t="shared" si="29"/>
        <v>49.151610136568067</v>
      </c>
      <c r="K187">
        <f t="shared" si="30"/>
        <v>49.957310029827546</v>
      </c>
      <c r="M187" s="22">
        <f t="shared" si="32"/>
        <v>1.8100000000000014</v>
      </c>
      <c r="N187">
        <f t="shared" si="26"/>
        <v>49.748740430894564</v>
      </c>
      <c r="O187">
        <f t="shared" si="22"/>
        <v>0.25125956910543579</v>
      </c>
      <c r="P187">
        <f t="shared" si="27"/>
        <v>2.7606071692117786</v>
      </c>
      <c r="Q187">
        <f t="shared" si="28"/>
        <v>-0.24652297648799504</v>
      </c>
      <c r="R187">
        <f t="shared" si="23"/>
        <v>-6.0188030171046689</v>
      </c>
    </row>
    <row r="188" spans="8:18" x14ac:dyDescent="0.25">
      <c r="H188" s="22">
        <f t="shared" si="31"/>
        <v>1.8200000000000014</v>
      </c>
      <c r="I188" s="15">
        <f t="shared" si="21"/>
        <v>49.1316178966675</v>
      </c>
      <c r="J188">
        <f t="shared" si="29"/>
        <v>49.17050380891844</v>
      </c>
      <c r="K188">
        <f t="shared" si="30"/>
        <v>49.958260736977465</v>
      </c>
      <c r="M188" s="22">
        <f t="shared" si="32"/>
        <v>1.8200000000000014</v>
      </c>
      <c r="N188">
        <f t="shared" si="26"/>
        <v>49.751181708102109</v>
      </c>
      <c r="O188">
        <f t="shared" si="22"/>
        <v>0.24881829189789073</v>
      </c>
      <c r="P188">
        <f t="shared" si="27"/>
        <v>2.7631075585167952</v>
      </c>
      <c r="Q188">
        <f t="shared" si="28"/>
        <v>-0.24412772075450562</v>
      </c>
      <c r="R188">
        <f t="shared" si="23"/>
        <v>-6.0189691464142818</v>
      </c>
    </row>
    <row r="189" spans="8:18" x14ac:dyDescent="0.25">
      <c r="H189" s="22">
        <f t="shared" si="31"/>
        <v>1.8300000000000014</v>
      </c>
      <c r="I189" s="15">
        <f t="shared" si="21"/>
        <v>49.150743047587738</v>
      </c>
      <c r="J189">
        <f t="shared" si="29"/>
        <v>49.188976718515427</v>
      </c>
      <c r="K189">
        <f t="shared" si="30"/>
        <v>49.959190271845436</v>
      </c>
      <c r="M189" s="22">
        <f t="shared" si="32"/>
        <v>1.8300000000000014</v>
      </c>
      <c r="N189">
        <f t="shared" si="26"/>
        <v>49.753599265479103</v>
      </c>
      <c r="O189">
        <f t="shared" si="22"/>
        <v>0.24640073452089695</v>
      </c>
      <c r="P189">
        <f t="shared" si="27"/>
        <v>2.7655836536488891</v>
      </c>
      <c r="Q189">
        <f t="shared" si="28"/>
        <v>-0.24175573769937841</v>
      </c>
      <c r="R189">
        <f t="shared" si="23"/>
        <v>-6.0191336615855846</v>
      </c>
    </row>
    <row r="190" spans="8:18" x14ac:dyDescent="0.25">
      <c r="H190" s="22">
        <f t="shared" si="31"/>
        <v>1.8400000000000014</v>
      </c>
      <c r="I190" s="15">
        <f t="shared" si="21"/>
        <v>49.169446988309929</v>
      </c>
      <c r="J190">
        <f t="shared" si="29"/>
        <v>49.207038235760471</v>
      </c>
      <c r="K190">
        <f t="shared" si="30"/>
        <v>49.96009910593893</v>
      </c>
      <c r="M190" s="22">
        <f t="shared" si="32"/>
        <v>1.8400000000000014</v>
      </c>
      <c r="N190">
        <f t="shared" si="26"/>
        <v>49.755993333491119</v>
      </c>
      <c r="O190">
        <f t="shared" si="22"/>
        <v>0.2440066665088807</v>
      </c>
      <c r="P190">
        <f t="shared" si="27"/>
        <v>2.7680356906540382</v>
      </c>
      <c r="Q190">
        <f t="shared" si="28"/>
        <v>-0.23940680120162483</v>
      </c>
      <c r="R190">
        <f t="shared" si="23"/>
        <v>-6.0192965783018053</v>
      </c>
    </row>
    <row r="191" spans="8:18" x14ac:dyDescent="0.25">
      <c r="H191" s="22">
        <f t="shared" si="31"/>
        <v>1.8500000000000014</v>
      </c>
      <c r="I191" s="15">
        <f t="shared" si="21"/>
        <v>49.187738995520668</v>
      </c>
      <c r="J191">
        <f t="shared" si="29"/>
        <v>49.224697522375841</v>
      </c>
      <c r="K191">
        <f t="shared" si="30"/>
        <v>49.960987700264923</v>
      </c>
      <c r="M191" s="22">
        <f t="shared" si="32"/>
        <v>1.8500000000000014</v>
      </c>
      <c r="N191">
        <f t="shared" si="26"/>
        <v>49.758364140364499</v>
      </c>
      <c r="O191">
        <f t="shared" si="22"/>
        <v>0.24163585963550105</v>
      </c>
      <c r="P191">
        <f t="shared" si="27"/>
        <v>2.7704639032847602</v>
      </c>
      <c r="Q191">
        <f t="shared" si="28"/>
        <v>-0.23708068733796495</v>
      </c>
      <c r="R191">
        <f t="shared" si="23"/>
        <v>-6.0194579120937632</v>
      </c>
    </row>
    <row r="192" spans="8:18" x14ac:dyDescent="0.25">
      <c r="H192" s="22">
        <f t="shared" si="31"/>
        <v>1.8600000000000014</v>
      </c>
      <c r="I192" s="15">
        <f t="shared" si="21"/>
        <v>49.205628141597813</v>
      </c>
      <c r="J192">
        <f t="shared" si="29"/>
        <v>49.241963536051919</v>
      </c>
      <c r="K192">
        <f t="shared" si="30"/>
        <v>49.961856505563759</v>
      </c>
      <c r="M192" s="22">
        <f t="shared" si="32"/>
        <v>1.8600000000000014</v>
      </c>
      <c r="N192">
        <f t="shared" si="26"/>
        <v>49.760711912108093</v>
      </c>
      <c r="O192">
        <f t="shared" si="22"/>
        <v>0.23928808789190725</v>
      </c>
      <c r="P192">
        <f t="shared" si="27"/>
        <v>2.7728685230223973</v>
      </c>
      <c r="Q192">
        <f t="shared" si="28"/>
        <v>-0.23477717435937961</v>
      </c>
      <c r="R192">
        <f t="shared" si="23"/>
        <v>-6.0196176783414215</v>
      </c>
    </row>
    <row r="193" spans="8:18" x14ac:dyDescent="0.25">
      <c r="H193" s="22">
        <f t="shared" si="31"/>
        <v>1.8700000000000014</v>
      </c>
      <c r="I193" s="15">
        <f t="shared" si="21"/>
        <v>49.223123299110192</v>
      </c>
      <c r="J193">
        <f t="shared" si="29"/>
        <v>49.258845034991019</v>
      </c>
      <c r="K193">
        <f t="shared" si="30"/>
        <v>49.962705962537775</v>
      </c>
      <c r="M193" s="22">
        <f t="shared" si="32"/>
        <v>1.8700000000000014</v>
      </c>
      <c r="N193">
        <f t="shared" si="26"/>
        <v>49.763036872534819</v>
      </c>
      <c r="O193">
        <f t="shared" si="22"/>
        <v>0.23696312746518089</v>
      </c>
      <c r="P193">
        <f t="shared" si="27"/>
        <v>2.7752497790991826</v>
      </c>
      <c r="Q193">
        <f t="shared" si="28"/>
        <v>-0.23249604267263635</v>
      </c>
      <c r="R193">
        <f t="shared" si="23"/>
        <v>-6.0197758922752742</v>
      </c>
    </row>
    <row r="194" spans="8:18" x14ac:dyDescent="0.25">
      <c r="H194" s="22">
        <f t="shared" si="31"/>
        <v>1.8800000000000014</v>
      </c>
      <c r="I194" s="15">
        <f t="shared" si="21"/>
        <v>49.240233145218163</v>
      </c>
      <c r="J194">
        <f t="shared" si="29"/>
        <v>49.275350582349972</v>
      </c>
      <c r="K194">
        <f t="shared" si="30"/>
        <v>49.963536502074852</v>
      </c>
      <c r="M194" s="22">
        <f t="shared" si="32"/>
        <v>1.8800000000000014</v>
      </c>
      <c r="N194">
        <f t="shared" si="26"/>
        <v>49.765339243283002</v>
      </c>
      <c r="O194">
        <f t="shared" si="22"/>
        <v>0.23466075671699826</v>
      </c>
      <c r="P194">
        <f t="shared" si="27"/>
        <v>2.7776078985200936</v>
      </c>
      <c r="Q194">
        <f t="shared" si="28"/>
        <v>-0.2302370748182625</v>
      </c>
      <c r="R194">
        <f t="shared" si="23"/>
        <v>-6.0199325689778185</v>
      </c>
    </row>
    <row r="195" spans="8:18" x14ac:dyDescent="0.25">
      <c r="H195" s="22">
        <f t="shared" si="31"/>
        <v>1.8900000000000015</v>
      </c>
      <c r="I195" s="15">
        <f t="shared" si="21"/>
        <v>49.256966165977268</v>
      </c>
      <c r="J195">
        <f t="shared" si="29"/>
        <v>49.2914885505838</v>
      </c>
      <c r="K195">
        <f t="shared" si="30"/>
        <v>49.964348545466976</v>
      </c>
      <c r="M195" s="22">
        <f t="shared" si="32"/>
        <v>1.8900000000000015</v>
      </c>
      <c r="N195">
        <f t="shared" si="26"/>
        <v>49.76761924383748</v>
      </c>
      <c r="O195">
        <f t="shared" si="22"/>
        <v>0.23238075616252019</v>
      </c>
      <c r="P195">
        <f t="shared" si="27"/>
        <v>2.7799431060844912</v>
      </c>
      <c r="Q195">
        <f t="shared" si="28"/>
        <v>-0.22800005544780788</v>
      </c>
      <c r="R195">
        <f t="shared" si="23"/>
        <v>-6.0200877233850667</v>
      </c>
    </row>
    <row r="196" spans="8:18" x14ac:dyDescent="0.25">
      <c r="H196" s="22">
        <f t="shared" si="31"/>
        <v>1.9000000000000015</v>
      </c>
      <c r="I196" s="15">
        <f t="shared" si="21"/>
        <v>49.27333066054711</v>
      </c>
      <c r="J196">
        <f t="shared" si="29"/>
        <v>49.307267125692661</v>
      </c>
      <c r="K196">
        <f t="shared" si="30"/>
        <v>49.965142504623955</v>
      </c>
      <c r="M196" s="22">
        <f t="shared" si="32"/>
        <v>1.9000000000000015</v>
      </c>
      <c r="N196">
        <f t="shared" si="26"/>
        <v>49.769877091550548</v>
      </c>
      <c r="O196">
        <f t="shared" si="22"/>
        <v>0.23012290844945227</v>
      </c>
      <c r="P196">
        <f t="shared" si="27"/>
        <v>2.7822556244075511</v>
      </c>
      <c r="Q196">
        <f t="shared" si="28"/>
        <v>-0.22578477130679175</v>
      </c>
      <c r="R196">
        <f t="shared" si="23"/>
        <v>-6.020241370287871</v>
      </c>
    </row>
    <row r="197" spans="8:18" x14ac:dyDescent="0.25">
      <c r="H197" s="22">
        <f t="shared" si="31"/>
        <v>1.9100000000000015</v>
      </c>
      <c r="I197" s="15">
        <f t="shared" si="21"/>
        <v>49.289334745307499</v>
      </c>
      <c r="J197">
        <f t="shared" si="29"/>
        <v>49.322694311374192</v>
      </c>
      <c r="K197">
        <f t="shared" si="30"/>
        <v>49.965918782282351</v>
      </c>
      <c r="M197" s="22">
        <f t="shared" si="32"/>
        <v>1.9100000000000015</v>
      </c>
      <c r="N197">
        <f t="shared" si="26"/>
        <v>49.772113001662674</v>
      </c>
      <c r="O197">
        <f t="shared" si="22"/>
        <v>0.22788699833732551</v>
      </c>
      <c r="P197">
        <f t="shared" si="27"/>
        <v>2.7845456739414849</v>
      </c>
      <c r="Q197">
        <f t="shared" si="28"/>
        <v>-0.22359101121267599</v>
      </c>
      <c r="R197">
        <f t="shared" si="23"/>
        <v>-6.0203935243333673</v>
      </c>
    </row>
    <row r="198" spans="8:18" x14ac:dyDescent="0.25">
      <c r="H198" s="22">
        <f t="shared" si="31"/>
        <v>1.9200000000000015</v>
      </c>
      <c r="I198" s="15">
        <f t="shared" si="21"/>
        <v>49.304986357884047</v>
      </c>
      <c r="J198">
        <f t="shared" si="29"/>
        <v>49.337777933083409</v>
      </c>
      <c r="K198">
        <f t="shared" si="30"/>
        <v>49.966677772209756</v>
      </c>
      <c r="M198" s="22">
        <f t="shared" si="32"/>
        <v>1.9200000000000015</v>
      </c>
      <c r="N198">
        <f t="shared" si="26"/>
        <v>49.774327187323017</v>
      </c>
      <c r="O198">
        <f t="shared" si="22"/>
        <v>0.22567281267698291</v>
      </c>
      <c r="P198">
        <f t="shared" si="27"/>
        <v>2.7868134729965566</v>
      </c>
      <c r="Q198">
        <f t="shared" si="28"/>
        <v>-0.22141856603425936</v>
      </c>
      <c r="R198">
        <f t="shared" si="23"/>
        <v>-6.0205442000263938</v>
      </c>
    </row>
    <row r="199" spans="8:18" x14ac:dyDescent="0.25">
      <c r="H199" s="22">
        <f t="shared" si="31"/>
        <v>1.9300000000000015</v>
      </c>
      <c r="I199" s="15">
        <f t="shared" ref="I199:I262" si="33">DEGREES(-2*$E$5/$C$6*$C$9/$C$8*$C$18*(1-EXP(-$C$20*H199)))</f>
        <v>49.320293261084927</v>
      </c>
      <c r="J199">
        <f t="shared" si="29"/>
        <v>49.352525642002156</v>
      </c>
      <c r="K199">
        <f t="shared" si="30"/>
        <v>49.967419859404558</v>
      </c>
      <c r="M199" s="22">
        <f t="shared" si="32"/>
        <v>1.9300000000000015</v>
      </c>
      <c r="N199">
        <f t="shared" si="26"/>
        <v>49.776519859609735</v>
      </c>
      <c r="O199">
        <f t="shared" ref="O199:O262" si="34">$E$7-N199</f>
        <v>0.22348014039026509</v>
      </c>
      <c r="P199">
        <f t="shared" si="27"/>
        <v>2.7890592377618928</v>
      </c>
      <c r="Q199">
        <f t="shared" si="28"/>
        <v>-0.21926722867178228</v>
      </c>
      <c r="R199">
        <f t="shared" ref="R199:R262" si="35">$C$34*O199+$C$35*P199+$C$36*Q199</f>
        <v>-6.0206934117308801</v>
      </c>
    </row>
    <row r="200" spans="8:18" x14ac:dyDescent="0.25">
      <c r="H200" s="22">
        <f t="shared" si="31"/>
        <v>1.9400000000000015</v>
      </c>
      <c r="I200" s="15">
        <f t="shared" si="33"/>
        <v>49.33526304675113</v>
      </c>
      <c r="J200">
        <f t="shared" si="29"/>
        <v>49.36694491892019</v>
      </c>
      <c r="K200">
        <f t="shared" si="30"/>
        <v>49.968145420291208</v>
      </c>
      <c r="M200" s="22">
        <f t="shared" si="32"/>
        <v>1.9400000000000015</v>
      </c>
      <c r="N200">
        <f t="shared" ref="N200:N263" si="36">N199+$E$8*DEGREES($E$6*$C$5*$C$6^2*$E$5/(4*$C$7)*$C$8*RADIANS(N199)+$E$6*$C$5*$C$6*$E$5^2/(2*$C$7)*$C$9*RADIANS(R199))</f>
        <v>49.778691227550134</v>
      </c>
      <c r="O200">
        <f t="shared" si="34"/>
        <v>0.22130877244986635</v>
      </c>
      <c r="P200">
        <f t="shared" ref="P200:P263" si="37">P199+(O200+O199)*$E$8/2</f>
        <v>2.7912831823260933</v>
      </c>
      <c r="Q200">
        <f t="shared" ref="Q200:Q263" si="38">(O200-O199)/$E$8</f>
        <v>-0.21713679403987385</v>
      </c>
      <c r="R200">
        <f t="shared" si="35"/>
        <v>-6.0208411736711218</v>
      </c>
    </row>
    <row r="201" spans="8:18" x14ac:dyDescent="0.25">
      <c r="H201" s="22">
        <f t="shared" si="31"/>
        <v>1.9500000000000015</v>
      </c>
      <c r="I201" s="15">
        <f t="shared" si="33"/>
        <v>49.349903139521771</v>
      </c>
      <c r="J201">
        <f t="shared" ref="J201:J264" si="39">J200+$E$8*DEGREES($E$6*$C$5*$C$6^2*$E$5/(4*$C$7)*$C$8*RADIANS(J200) +$E$6*$C$5*$C$6*$E$5^2/(2*$C$7)*$C$9*$C$18)</f>
        <v>49.381043078029819</v>
      </c>
      <c r="K201">
        <f t="shared" si="30"/>
        <v>49.968854822911183</v>
      </c>
      <c r="M201" s="22">
        <f t="shared" si="32"/>
        <v>1.9500000000000015</v>
      </c>
      <c r="N201">
        <f t="shared" si="36"/>
        <v>49.78084149814056</v>
      </c>
      <c r="O201">
        <f t="shared" si="34"/>
        <v>0.21915850185943953</v>
      </c>
      <c r="P201">
        <f t="shared" si="37"/>
        <v>2.7934855186976399</v>
      </c>
      <c r="Q201">
        <f t="shared" si="38"/>
        <v>-0.21502705904268282</v>
      </c>
      <c r="R201">
        <f t="shared" si="35"/>
        <v>-6.0209874999333053</v>
      </c>
    </row>
    <row r="202" spans="8:18" x14ac:dyDescent="0.25">
      <c r="H202" s="22">
        <f t="shared" si="31"/>
        <v>1.9600000000000015</v>
      </c>
      <c r="I202" s="15">
        <f t="shared" si="33"/>
        <v>49.364220800516513</v>
      </c>
      <c r="J202">
        <f t="shared" si="39"/>
        <v>49.394827270636029</v>
      </c>
      <c r="K202">
        <f t="shared" si="30"/>
        <v>49.969548427109643</v>
      </c>
      <c r="M202" s="22">
        <f t="shared" si="32"/>
        <v>1.9600000000000015</v>
      </c>
      <c r="N202">
        <f t="shared" si="36"/>
        <v>49.782970876366171</v>
      </c>
      <c r="O202">
        <f t="shared" si="34"/>
        <v>0.21702912363382865</v>
      </c>
      <c r="P202">
        <f t="shared" si="37"/>
        <v>2.7956664568251064</v>
      </c>
      <c r="Q202">
        <f t="shared" si="38"/>
        <v>-0.21293782256108784</v>
      </c>
      <c r="R202">
        <f t="shared" si="35"/>
        <v>-6.0211324044666483</v>
      </c>
    </row>
    <row r="203" spans="8:18" x14ac:dyDescent="0.25">
      <c r="H203" s="22">
        <f t="shared" si="31"/>
        <v>1.9700000000000015</v>
      </c>
      <c r="I203" s="15">
        <f t="shared" si="33"/>
        <v>49.378223130936966</v>
      </c>
      <c r="J203">
        <f t="shared" si="39"/>
        <v>49.408304488783983</v>
      </c>
      <c r="K203">
        <f t="shared" si="30"/>
        <v>49.970226584718006</v>
      </c>
      <c r="M203" s="22">
        <f t="shared" si="32"/>
        <v>1.9700000000000015</v>
      </c>
      <c r="N203">
        <f t="shared" si="36"/>
        <v>49.785079565220435</v>
      </c>
      <c r="O203">
        <f t="shared" si="34"/>
        <v>0.21492043477956457</v>
      </c>
      <c r="P203">
        <f t="shared" si="37"/>
        <v>2.7978262046171736</v>
      </c>
      <c r="Q203">
        <f t="shared" si="38"/>
        <v>-0.21086888542640736</v>
      </c>
      <c r="R203">
        <f t="shared" si="35"/>
        <v>-6.0212759010849481</v>
      </c>
    </row>
    <row r="204" spans="8:18" x14ac:dyDescent="0.25">
      <c r="H204" s="22">
        <f t="shared" si="31"/>
        <v>1.9800000000000015</v>
      </c>
      <c r="I204" s="15">
        <f t="shared" si="33"/>
        <v>49.391917075588644</v>
      </c>
      <c r="J204">
        <f t="shared" si="39"/>
        <v>49.421481568805753</v>
      </c>
      <c r="K204">
        <f t="shared" si="30"/>
        <v>49.970889639732377</v>
      </c>
      <c r="M204" s="22">
        <f t="shared" si="32"/>
        <v>1.9800000000000015</v>
      </c>
      <c r="N204">
        <f t="shared" si="36"/>
        <v>49.787167765724526</v>
      </c>
      <c r="O204">
        <f t="shared" si="34"/>
        <v>0.21283223427547426</v>
      </c>
      <c r="P204">
        <f t="shared" si="37"/>
        <v>2.799964967962449</v>
      </c>
      <c r="Q204">
        <f t="shared" si="38"/>
        <v>-0.20882005040903096</v>
      </c>
      <c r="R204">
        <f t="shared" si="35"/>
        <v>-6.0214180034676659</v>
      </c>
    </row>
    <row r="205" spans="8:18" x14ac:dyDescent="0.25">
      <c r="H205" s="22">
        <f t="shared" si="31"/>
        <v>1.9900000000000015</v>
      </c>
      <c r="I205" s="15">
        <f t="shared" si="33"/>
        <v>49.405309426325445</v>
      </c>
      <c r="J205">
        <f t="shared" si="39"/>
        <v>49.434365194788057</v>
      </c>
      <c r="K205">
        <f t="shared" si="30"/>
        <v>49.971537928488061</v>
      </c>
      <c r="M205" s="22">
        <f t="shared" si="32"/>
        <v>1.9900000000000015</v>
      </c>
      <c r="N205">
        <f t="shared" si="36"/>
        <v>49.789235676946447</v>
      </c>
      <c r="O205">
        <f t="shared" si="34"/>
        <v>0.21076432305355297</v>
      </c>
      <c r="P205">
        <f t="shared" si="37"/>
        <v>2.8020829507490941</v>
      </c>
      <c r="Q205">
        <f t="shared" si="38"/>
        <v>-0.20679112219212925</v>
      </c>
      <c r="R205">
        <f t="shared" si="35"/>
        <v>-6.0215587251614515</v>
      </c>
    </row>
    <row r="206" spans="8:18" x14ac:dyDescent="0.25">
      <c r="H206" s="22">
        <f t="shared" si="31"/>
        <v>2.0000000000000013</v>
      </c>
      <c r="I206" s="15">
        <f t="shared" si="33"/>
        <v>49.418406825418216</v>
      </c>
      <c r="J206">
        <f t="shared" si="39"/>
        <v>49.446961901962766</v>
      </c>
      <c r="K206">
        <f t="shared" si="30"/>
        <v>49.972171779830163</v>
      </c>
      <c r="M206" s="22">
        <f t="shared" si="32"/>
        <v>2.0000000000000013</v>
      </c>
      <c r="N206">
        <f t="shared" si="36"/>
        <v>49.791283496020029</v>
      </c>
      <c r="O206">
        <f t="shared" si="34"/>
        <v>0.20871650397997144</v>
      </c>
      <c r="P206">
        <f t="shared" si="37"/>
        <v>2.8041803548842617</v>
      </c>
      <c r="Q206">
        <f t="shared" si="38"/>
        <v>-0.2047819073581536</v>
      </c>
      <c r="R206">
        <f t="shared" si="35"/>
        <v>-6.0216980795813031</v>
      </c>
    </row>
    <row r="207" spans="8:18" x14ac:dyDescent="0.25">
      <c r="H207" s="22">
        <f t="shared" si="31"/>
        <v>2.0100000000000011</v>
      </c>
      <c r="I207" s="15">
        <f t="shared" si="33"/>
        <v>49.431215768849199</v>
      </c>
      <c r="J207">
        <f t="shared" si="39"/>
        <v>49.459278080021896</v>
      </c>
      <c r="K207">
        <f t="shared" si="30"/>
        <v>49.972791515280392</v>
      </c>
      <c r="M207" s="22">
        <f t="shared" si="32"/>
        <v>2.0100000000000011</v>
      </c>
      <c r="N207">
        <f t="shared" si="36"/>
        <v>49.793311418163725</v>
      </c>
      <c r="O207">
        <f t="shared" si="34"/>
        <v>0.20668858183627492</v>
      </c>
      <c r="P207">
        <f t="shared" si="37"/>
        <v>2.806257380313343</v>
      </c>
      <c r="Q207">
        <f t="shared" si="38"/>
        <v>-0.20279221436965145</v>
      </c>
      <c r="R207">
        <f t="shared" si="35"/>
        <v>-6.0218360800118429</v>
      </c>
    </row>
    <row r="208" spans="8:18" x14ac:dyDescent="0.25">
      <c r="H208" s="22">
        <f t="shared" si="31"/>
        <v>2.0200000000000009</v>
      </c>
      <c r="I208" s="15">
        <f t="shared" si="33"/>
        <v>49.443742609533807</v>
      </c>
      <c r="J208">
        <f t="shared" si="39"/>
        <v>49.471319976358807</v>
      </c>
      <c r="K208">
        <f t="shared" si="30"/>
        <v>49.973397449200164</v>
      </c>
      <c r="M208" s="22">
        <f t="shared" si="32"/>
        <v>2.0200000000000009</v>
      </c>
      <c r="N208">
        <f t="shared" si="36"/>
        <v>49.795319636699212</v>
      </c>
      <c r="O208">
        <f t="shared" si="34"/>
        <v>0.20468036330078831</v>
      </c>
      <c r="P208">
        <f t="shared" si="37"/>
        <v>2.8083142250390285</v>
      </c>
      <c r="Q208">
        <f t="shared" si="38"/>
        <v>-0.20082185354866056</v>
      </c>
      <c r="R208">
        <f t="shared" si="35"/>
        <v>-6.0219727396086604</v>
      </c>
    </row>
    <row r="209" spans="8:18" x14ac:dyDescent="0.25">
      <c r="H209" s="22">
        <f t="shared" si="31"/>
        <v>2.0300000000000007</v>
      </c>
      <c r="I209" s="15">
        <f t="shared" si="33"/>
        <v>49.455993560471576</v>
      </c>
      <c r="J209">
        <f t="shared" si="39"/>
        <v>49.483093699237173</v>
      </c>
      <c r="K209">
        <f t="shared" si="30"/>
        <v>49.973989888950051</v>
      </c>
      <c r="M209" s="22">
        <f t="shared" si="32"/>
        <v>2.0300000000000007</v>
      </c>
      <c r="N209">
        <f t="shared" si="36"/>
        <v>49.79730834306983</v>
      </c>
      <c r="O209">
        <f t="shared" si="34"/>
        <v>0.20269165693017044</v>
      </c>
      <c r="P209">
        <f t="shared" si="37"/>
        <v>2.8103510851401832</v>
      </c>
      <c r="Q209">
        <f t="shared" si="38"/>
        <v>-0.19887063706178765</v>
      </c>
      <c r="R209">
        <f t="shared" si="35"/>
        <v>-6.0221080713994715</v>
      </c>
    </row>
    <row r="210" spans="8:18" x14ac:dyDescent="0.25">
      <c r="H210" s="22">
        <f t="shared" si="31"/>
        <v>2.0400000000000005</v>
      </c>
      <c r="I210" s="15">
        <f t="shared" si="33"/>
        <v>49.467974697827621</v>
      </c>
      <c r="J210">
        <f t="shared" si="39"/>
        <v>49.494605220889433</v>
      </c>
      <c r="K210">
        <f t="shared" si="30"/>
        <v>49.974569135045691</v>
      </c>
      <c r="M210" s="22">
        <f t="shared" si="32"/>
        <v>2.0400000000000005</v>
      </c>
      <c r="N210">
        <f t="shared" si="36"/>
        <v>49.799277726858811</v>
      </c>
      <c r="O210">
        <f t="shared" si="34"/>
        <v>0.20072227314118862</v>
      </c>
      <c r="P210">
        <f t="shared" si="37"/>
        <v>2.8123681547905401</v>
      </c>
      <c r="Q210">
        <f t="shared" si="38"/>
        <v>-0.19693837889818155</v>
      </c>
      <c r="R210">
        <f t="shared" si="35"/>
        <v>-6.0222420882854939</v>
      </c>
    </row>
    <row r="211" spans="8:18" x14ac:dyDescent="0.25">
      <c r="H211" s="22">
        <f t="shared" si="31"/>
        <v>2.0500000000000003</v>
      </c>
      <c r="I211" s="15">
        <f t="shared" si="33"/>
        <v>49.479691963946287</v>
      </c>
      <c r="J211">
        <f t="shared" si="39"/>
        <v>49.505860380546196</v>
      </c>
      <c r="K211">
        <f t="shared" si="30"/>
        <v>49.97513548131024</v>
      </c>
      <c r="M211" s="22">
        <f t="shared" si="32"/>
        <v>2.0500000000000003</v>
      </c>
      <c r="N211">
        <f t="shared" si="36"/>
        <v>49.801227975807386</v>
      </c>
      <c r="O211">
        <f t="shared" si="34"/>
        <v>0.19877202419261408</v>
      </c>
      <c r="P211">
        <f t="shared" si="37"/>
        <v>2.8143656262772092</v>
      </c>
      <c r="Q211">
        <f t="shared" si="38"/>
        <v>-0.195024894857454</v>
      </c>
      <c r="R211">
        <f t="shared" si="35"/>
        <v>-6.0223748030424975</v>
      </c>
    </row>
    <row r="212" spans="8:18" x14ac:dyDescent="0.25">
      <c r="H212" s="22">
        <f t="shared" si="31"/>
        <v>2.06</v>
      </c>
      <c r="I212" s="15">
        <f t="shared" si="33"/>
        <v>49.491151170298366</v>
      </c>
      <c r="J212">
        <f t="shared" si="39"/>
        <v>49.516864887398192</v>
      </c>
      <c r="K212">
        <f t="shared" si="30"/>
        <v>49.975689215023387</v>
      </c>
      <c r="M212" s="22">
        <f t="shared" si="32"/>
        <v>2.06</v>
      </c>
      <c r="N212">
        <f t="shared" si="36"/>
        <v>49.803159275832641</v>
      </c>
      <c r="O212">
        <f t="shared" si="34"/>
        <v>0.19684072416735887</v>
      </c>
      <c r="P212">
        <f t="shared" si="37"/>
        <v>2.8163436900190089</v>
      </c>
      <c r="Q212">
        <f t="shared" si="38"/>
        <v>-0.19313000252552115</v>
      </c>
      <c r="R212">
        <f t="shared" si="35"/>
        <v>-6.022506228322225</v>
      </c>
    </row>
    <row r="213" spans="8:18" x14ac:dyDescent="0.25">
      <c r="H213" s="22">
        <f t="shared" si="31"/>
        <v>2.0699999999999998</v>
      </c>
      <c r="I213" s="15">
        <f t="shared" si="33"/>
        <v>49.502358000363479</v>
      </c>
      <c r="J213">
        <f t="shared" si="39"/>
        <v>49.527624323492269</v>
      </c>
      <c r="K213">
        <f t="shared" ref="K213:K276" si="40">K212+$E$8*DEGREES($E$6*$C$5*$C$6^2*$E$5/(4*$C$7)*$C$8*RADIANS(K212) +$E$6*$C$5*$C$6*$E$5^2/(2*$C$7)*$C$9*$C$18)</f>
        <v>49.976230617067102</v>
      </c>
      <c r="M213" s="22">
        <f t="shared" si="32"/>
        <v>2.0699999999999998</v>
      </c>
      <c r="N213">
        <f t="shared" si="36"/>
        <v>49.805071811045281</v>
      </c>
      <c r="O213">
        <f t="shared" si="34"/>
        <v>0.19492818895471942</v>
      </c>
      <c r="P213">
        <f t="shared" si="37"/>
        <v>2.8183025345846193</v>
      </c>
      <c r="Q213">
        <f t="shared" si="38"/>
        <v>-0.19125352126394546</v>
      </c>
      <c r="R213">
        <f t="shared" si="35"/>
        <v>-6.0226363766533986</v>
      </c>
    </row>
    <row r="214" spans="8:18" x14ac:dyDescent="0.25">
      <c r="H214" s="22">
        <f t="shared" si="31"/>
        <v>2.0799999999999996</v>
      </c>
      <c r="I214" s="15">
        <f t="shared" si="33"/>
        <v>49.513318012448906</v>
      </c>
      <c r="J214">
        <f t="shared" si="39"/>
        <v>49.5381441465629</v>
      </c>
      <c r="K214">
        <f t="shared" si="40"/>
        <v>49.976759962068101</v>
      </c>
      <c r="M214" s="22">
        <f t="shared" si="32"/>
        <v>2.0799999999999996</v>
      </c>
      <c r="N214">
        <f t="shared" si="36"/>
        <v>49.806965763767145</v>
      </c>
      <c r="O214">
        <f t="shared" si="34"/>
        <v>0.19303423623285454</v>
      </c>
      <c r="P214">
        <f t="shared" si="37"/>
        <v>2.8202423467105571</v>
      </c>
      <c r="Q214">
        <f t="shared" si="38"/>
        <v>-0.18939527218648777</v>
      </c>
      <c r="R214">
        <f t="shared" si="35"/>
        <v>-6.0227652604430935</v>
      </c>
    </row>
    <row r="215" spans="8:18" x14ac:dyDescent="0.25">
      <c r="H215" s="22">
        <f t="shared" si="31"/>
        <v>2.0899999999999994</v>
      </c>
      <c r="I215" s="15">
        <f t="shared" si="33"/>
        <v>49.524036642446411</v>
      </c>
      <c r="J215">
        <f t="shared" si="39"/>
        <v>49.548429692800617</v>
      </c>
      <c r="K215">
        <f t="shared" si="40"/>
        <v>49.97727751853715</v>
      </c>
      <c r="M215" s="22">
        <f t="shared" si="32"/>
        <v>2.0899999999999994</v>
      </c>
      <c r="N215">
        <f t="shared" si="36"/>
        <v>49.80884131454863</v>
      </c>
      <c r="O215">
        <f t="shared" si="34"/>
        <v>0.19115868545137005</v>
      </c>
      <c r="P215">
        <f t="shared" si="37"/>
        <v>2.8221633113189784</v>
      </c>
      <c r="Q215">
        <f t="shared" si="38"/>
        <v>-0.18755507814844918</v>
      </c>
      <c r="R215">
        <f t="shared" si="35"/>
        <v>-6.0228928919777278</v>
      </c>
    </row>
    <row r="216" spans="8:18" x14ac:dyDescent="0.25">
      <c r="H216" s="22">
        <f t="shared" si="31"/>
        <v>2.0999999999999992</v>
      </c>
      <c r="I216" s="15">
        <f t="shared" si="33"/>
        <v>49.534519206528266</v>
      </c>
      <c r="J216">
        <f t="shared" si="39"/>
        <v>49.558486179558805</v>
      </c>
      <c r="K216">
        <f t="shared" si="40"/>
        <v>49.977783549005274</v>
      </c>
      <c r="M216" s="22">
        <f t="shared" si="32"/>
        <v>2.0999999999999992</v>
      </c>
      <c r="N216">
        <f t="shared" si="36"/>
        <v>49.810698642185855</v>
      </c>
      <c r="O216">
        <f t="shared" si="34"/>
        <v>0.18930135781414492</v>
      </c>
      <c r="P216">
        <f t="shared" si="37"/>
        <v>2.824065611535306</v>
      </c>
      <c r="Q216">
        <f t="shared" si="38"/>
        <v>-0.18573276372251257</v>
      </c>
      <c r="R216">
        <f t="shared" si="35"/>
        <v>-6.0230192834244516</v>
      </c>
    </row>
    <row r="217" spans="8:18" x14ac:dyDescent="0.25">
      <c r="H217" s="22">
        <f t="shared" si="31"/>
        <v>2.109999999999999</v>
      </c>
      <c r="I217" s="15">
        <f t="shared" si="33"/>
        <v>49.544770903783949</v>
      </c>
      <c r="J217">
        <f t="shared" si="39"/>
        <v>49.568318708000191</v>
      </c>
      <c r="K217">
        <f t="shared" si="40"/>
        <v>49.978278310156924</v>
      </c>
      <c r="M217" s="22">
        <f t="shared" si="32"/>
        <v>2.109999999999999</v>
      </c>
      <c r="N217">
        <f t="shared" si="36"/>
        <v>49.812537923737736</v>
      </c>
      <c r="O217">
        <f t="shared" si="34"/>
        <v>0.18746207626226408</v>
      </c>
      <c r="P217">
        <f t="shared" si="37"/>
        <v>2.8259494287056879</v>
      </c>
      <c r="Q217">
        <f t="shared" si="38"/>
        <v>-0.18392815518808447</v>
      </c>
      <c r="R217">
        <f t="shared" si="35"/>
        <v>-6.0231444468321422</v>
      </c>
    </row>
    <row r="218" spans="8:18" x14ac:dyDescent="0.25">
      <c r="H218" s="22">
        <f t="shared" si="31"/>
        <v>2.1199999999999988</v>
      </c>
      <c r="I218" s="15">
        <f t="shared" si="33"/>
        <v>49.554796818798785</v>
      </c>
      <c r="J218">
        <f t="shared" si="39"/>
        <v>49.577932265684439</v>
      </c>
      <c r="K218">
        <f t="shared" si="40"/>
        <v>49.978762052960178</v>
      </c>
      <c r="M218" s="22">
        <f t="shared" si="32"/>
        <v>2.1199999999999988</v>
      </c>
      <c r="N218">
        <f t="shared" si="36"/>
        <v>49.81435933454285</v>
      </c>
      <c r="O218">
        <f t="shared" si="34"/>
        <v>0.18564066545715008</v>
      </c>
      <c r="P218">
        <f t="shared" si="37"/>
        <v>2.8278149424142849</v>
      </c>
      <c r="Q218">
        <f t="shared" si="38"/>
        <v>-0.18214108051139988</v>
      </c>
      <c r="R218">
        <f t="shared" si="35"/>
        <v>-6.0232683941326419</v>
      </c>
    </row>
    <row r="219" spans="8:18" x14ac:dyDescent="0.25">
      <c r="H219" s="22">
        <f t="shared" si="31"/>
        <v>2.1299999999999986</v>
      </c>
      <c r="I219" s="15">
        <f t="shared" si="33"/>
        <v>49.56460192417574</v>
      </c>
      <c r="J219">
        <f t="shared" si="39"/>
        <v>49.587331729098068</v>
      </c>
      <c r="K219">
        <f t="shared" si="40"/>
        <v>49.97923502279405</v>
      </c>
      <c r="M219" s="22">
        <f t="shared" si="32"/>
        <v>2.1299999999999986</v>
      </c>
      <c r="N219">
        <f t="shared" si="36"/>
        <v>49.816163048236177</v>
      </c>
      <c r="O219">
        <f t="shared" si="34"/>
        <v>0.18383695176382275</v>
      </c>
      <c r="P219">
        <f t="shared" si="37"/>
        <v>2.8296623305003896</v>
      </c>
      <c r="Q219">
        <f t="shared" si="38"/>
        <v>-0.18037136933273246</v>
      </c>
      <c r="R219">
        <f t="shared" si="35"/>
        <v>-6.0233911371417701</v>
      </c>
    </row>
    <row r="220" spans="8:18" x14ac:dyDescent="0.25">
      <c r="H220" s="22">
        <f t="shared" si="31"/>
        <v>2.1399999999999983</v>
      </c>
      <c r="I220" s="15">
        <f t="shared" si="33"/>
        <v>49.574191083001757</v>
      </c>
      <c r="J220">
        <f t="shared" si="39"/>
        <v>49.596521866128086</v>
      </c>
      <c r="K220">
        <f t="shared" si="40"/>
        <v>49.979697459572947</v>
      </c>
      <c r="M220" s="22">
        <f t="shared" si="32"/>
        <v>2.1399999999999983</v>
      </c>
      <c r="N220">
        <f t="shared" si="36"/>
        <v>49.817949236765607</v>
      </c>
      <c r="O220">
        <f t="shared" si="34"/>
        <v>0.18205076323439329</v>
      </c>
      <c r="P220">
        <f t="shared" si="37"/>
        <v>2.8314917690753809</v>
      </c>
      <c r="Q220">
        <f t="shared" si="38"/>
        <v>-0.17861885294294666</v>
      </c>
      <c r="R220">
        <f t="shared" si="35"/>
        <v>-6.0235126875606895</v>
      </c>
    </row>
    <row r="221" spans="8:18" x14ac:dyDescent="0.25">
      <c r="H221" s="22">
        <f t="shared" si="31"/>
        <v>2.1499999999999981</v>
      </c>
      <c r="I221" s="15">
        <f t="shared" si="33"/>
        <v>49.583569051259651</v>
      </c>
      <c r="J221">
        <f t="shared" si="39"/>
        <v>49.605507338480479</v>
      </c>
      <c r="K221">
        <f t="shared" si="40"/>
        <v>49.980149597868376</v>
      </c>
      <c r="M221" s="22">
        <f t="shared" si="32"/>
        <v>2.1499999999999981</v>
      </c>
      <c r="N221">
        <f t="shared" si="36"/>
        <v>49.819718070408371</v>
      </c>
      <c r="O221">
        <f t="shared" si="34"/>
        <v>0.18028192959162936</v>
      </c>
      <c r="P221">
        <f t="shared" si="37"/>
        <v>2.8333034325395112</v>
      </c>
      <c r="Q221">
        <f t="shared" si="38"/>
        <v>-0.17688336427639229</v>
      </c>
      <c r="R221">
        <f t="shared" si="35"/>
        <v>-6.0236330569767533</v>
      </c>
    </row>
    <row r="222" spans="8:18" x14ac:dyDescent="0.25">
      <c r="H222" s="22">
        <f>H221+$E$8</f>
        <v>2.1599999999999979</v>
      </c>
      <c r="I222" s="15">
        <f t="shared" si="33"/>
        <v>49.592740480187025</v>
      </c>
      <c r="J222">
        <f t="shared" si="39"/>
        <v>49.614292704044871</v>
      </c>
      <c r="K222">
        <f t="shared" si="40"/>
        <v>49.980591667027923</v>
      </c>
      <c r="M222" s="22">
        <f>M221+$E$8</f>
        <v>2.1599999999999979</v>
      </c>
      <c r="N222">
        <f t="shared" si="36"/>
        <v>49.821469717787259</v>
      </c>
      <c r="O222">
        <f t="shared" si="34"/>
        <v>0.17853028221274059</v>
      </c>
      <c r="P222">
        <f t="shared" si="37"/>
        <v>2.8350974935985329</v>
      </c>
      <c r="Q222">
        <f t="shared" si="38"/>
        <v>-0.17516473788887765</v>
      </c>
      <c r="R222">
        <f t="shared" si="35"/>
        <v>-6.0237522568647694</v>
      </c>
    </row>
    <row r="223" spans="8:18" x14ac:dyDescent="0.25">
      <c r="H223" s="22">
        <f t="shared" si="31"/>
        <v>2.1699999999999977</v>
      </c>
      <c r="I223" s="15">
        <f t="shared" si="33"/>
        <v>49.60170991858314</v>
      </c>
      <c r="J223">
        <f t="shared" si="39"/>
        <v>49.62288241920654</v>
      </c>
      <c r="K223">
        <f t="shared" si="40"/>
        <v>49.981023891291613</v>
      </c>
      <c r="M223" s="22">
        <f t="shared" si="32"/>
        <v>2.1699999999999977</v>
      </c>
      <c r="N223">
        <f t="shared" si="36"/>
        <v>49.823204345886694</v>
      </c>
      <c r="O223">
        <f t="shared" si="34"/>
        <v>0.176795654113306</v>
      </c>
      <c r="P223">
        <f t="shared" si="37"/>
        <v>2.8368741232801633</v>
      </c>
      <c r="Q223">
        <f t="shared" si="38"/>
        <v>-0.17346280994345875</v>
      </c>
      <c r="R223">
        <f t="shared" si="35"/>
        <v>-6.0238702985880694</v>
      </c>
    </row>
    <row r="224" spans="8:18" x14ac:dyDescent="0.25">
      <c r="H224" s="22">
        <f t="shared" si="31"/>
        <v>2.1799999999999975</v>
      </c>
      <c r="I224" s="15">
        <f t="shared" si="33"/>
        <v>49.610481815064993</v>
      </c>
      <c r="J224">
        <f t="shared" si="39"/>
        <v>49.631280841106886</v>
      </c>
      <c r="K224">
        <f t="shared" si="40"/>
        <v>49.981446489905615</v>
      </c>
      <c r="M224" s="22">
        <f t="shared" si="32"/>
        <v>2.1799999999999975</v>
      </c>
      <c r="N224">
        <f t="shared" si="36"/>
        <v>49.824922120068656</v>
      </c>
      <c r="O224">
        <f t="shared" si="34"/>
        <v>0.17507787993134372</v>
      </c>
      <c r="P224">
        <f t="shared" si="37"/>
        <v>2.8386334909503868</v>
      </c>
      <c r="Q224">
        <f t="shared" si="38"/>
        <v>-0.17177741819622838</v>
      </c>
      <c r="R224">
        <f t="shared" si="35"/>
        <v>-6.0239871933995364</v>
      </c>
    </row>
    <row r="225" spans="8:18" x14ac:dyDescent="0.25">
      <c r="H225" s="22">
        <f t="shared" si="31"/>
        <v>2.1899999999999973</v>
      </c>
      <c r="I225" s="15">
        <f t="shared" si="33"/>
        <v>49.619060520273763</v>
      </c>
      <c r="J225">
        <f t="shared" si="39"/>
        <v>49.639492229853623</v>
      </c>
      <c r="K225">
        <f t="shared" si="40"/>
        <v>49.981859677233494</v>
      </c>
      <c r="M225" s="22">
        <f t="shared" si="32"/>
        <v>2.1899999999999973</v>
      </c>
      <c r="N225">
        <f t="shared" si="36"/>
        <v>49.826623204088435</v>
      </c>
      <c r="O225">
        <f t="shared" si="34"/>
        <v>0.1733767959115653</v>
      </c>
      <c r="P225">
        <f t="shared" si="37"/>
        <v>2.8403757643296013</v>
      </c>
      <c r="Q225">
        <f t="shared" si="38"/>
        <v>-0.17010840197784205</v>
      </c>
      <c r="R225">
        <f t="shared" si="35"/>
        <v>-6.0241029524427763</v>
      </c>
    </row>
    <row r="226" spans="8:18" x14ac:dyDescent="0.25">
      <c r="H226" s="22">
        <f t="shared" si="31"/>
        <v>2.1999999999999971</v>
      </c>
      <c r="I226" s="15">
        <f t="shared" si="33"/>
        <v>49.627450289032566</v>
      </c>
      <c r="J226">
        <f t="shared" si="39"/>
        <v>49.647520750681721</v>
      </c>
      <c r="K226">
        <f t="shared" si="40"/>
        <v>49.982263662864931</v>
      </c>
      <c r="M226" s="22">
        <f t="shared" si="32"/>
        <v>2.1999999999999971</v>
      </c>
      <c r="N226">
        <f t="shared" si="36"/>
        <v>49.828307760110249</v>
      </c>
      <c r="O226">
        <f t="shared" si="34"/>
        <v>0.17169223988975091</v>
      </c>
      <c r="P226">
        <f t="shared" si="37"/>
        <v>2.8421011095086079</v>
      </c>
      <c r="Q226">
        <f t="shared" si="38"/>
        <v>-0.16845560218143873</v>
      </c>
      <c r="R226">
        <f t="shared" si="35"/>
        <v>-6.0242175867530889</v>
      </c>
    </row>
    <row r="227" spans="8:18" x14ac:dyDescent="0.25">
      <c r="H227" s="22">
        <f t="shared" si="31"/>
        <v>2.2099999999999969</v>
      </c>
      <c r="I227" s="15">
        <f t="shared" si="33"/>
        <v>49.635655282456774</v>
      </c>
      <c r="J227">
        <f t="shared" si="39"/>
        <v>49.65537047606621</v>
      </c>
      <c r="K227">
        <f t="shared" si="40"/>
        <v>49.982658651722026</v>
      </c>
      <c r="M227" s="22">
        <f t="shared" si="32"/>
        <v>2.2099999999999969</v>
      </c>
      <c r="N227">
        <f t="shared" si="36"/>
        <v>49.829975948722719</v>
      </c>
      <c r="O227">
        <f t="shared" si="34"/>
        <v>0.17002405127728082</v>
      </c>
      <c r="P227">
        <f t="shared" si="37"/>
        <v>2.8438096909644432</v>
      </c>
      <c r="Q227">
        <f t="shared" si="38"/>
        <v>-0.16681886124700895</v>
      </c>
      <c r="R227">
        <f t="shared" si="35"/>
        <v>-6.024331107258508</v>
      </c>
    </row>
    <row r="228" spans="8:18" x14ac:dyDescent="0.25">
      <c r="H228" s="22">
        <f t="shared" si="31"/>
        <v>2.2199999999999966</v>
      </c>
      <c r="I228" s="15">
        <f t="shared" si="33"/>
        <v>49.643679570017817</v>
      </c>
      <c r="J228">
        <f t="shared" si="39"/>
        <v>49.66304538778796</v>
      </c>
      <c r="K228">
        <f t="shared" si="40"/>
        <v>49.98304484416326</v>
      </c>
      <c r="M228" s="22">
        <f t="shared" si="32"/>
        <v>2.2199999999999966</v>
      </c>
      <c r="N228">
        <f t="shared" si="36"/>
        <v>49.831627928954141</v>
      </c>
      <c r="O228">
        <f t="shared" si="34"/>
        <v>0.16837207104585872</v>
      </c>
      <c r="P228">
        <f t="shared" si="37"/>
        <v>2.8455016715760588</v>
      </c>
      <c r="Q228">
        <f t="shared" si="38"/>
        <v>-0.1651980231422101</v>
      </c>
      <c r="R228">
        <f t="shared" si="35"/>
        <v>-6.0244435247809909</v>
      </c>
    </row>
    <row r="229" spans="8:18" x14ac:dyDescent="0.25">
      <c r="H229" s="22">
        <f t="shared" si="31"/>
        <v>2.2299999999999964</v>
      </c>
      <c r="I229" s="15">
        <f t="shared" si="33"/>
        <v>49.651527131561544</v>
      </c>
      <c r="J229">
        <f t="shared" si="39"/>
        <v>49.670549378953446</v>
      </c>
      <c r="K229">
        <f t="shared" si="40"/>
        <v>49.983422436085128</v>
      </c>
      <c r="M229" s="22">
        <f t="shared" si="32"/>
        <v>2.2299999999999964</v>
      </c>
      <c r="N229">
        <f t="shared" si="36"/>
        <v>49.833263858287673</v>
      </c>
      <c r="O229">
        <f t="shared" si="34"/>
        <v>0.16673614171232742</v>
      </c>
      <c r="P229">
        <f t="shared" si="37"/>
        <v>2.8471772126398496</v>
      </c>
      <c r="Q229">
        <f t="shared" si="38"/>
        <v>-0.16359293335312941</v>
      </c>
      <c r="R229">
        <f t="shared" si="35"/>
        <v>-6.0245548500372914</v>
      </c>
    </row>
    <row r="230" spans="8:18" x14ac:dyDescent="0.25">
      <c r="H230" s="22">
        <f t="shared" si="31"/>
        <v>2.2399999999999962</v>
      </c>
      <c r="I230" s="15">
        <f t="shared" si="33"/>
        <v>49.65920185928212</v>
      </c>
      <c r="J230">
        <f t="shared" si="39"/>
        <v>49.677886255969518</v>
      </c>
      <c r="K230">
        <f t="shared" si="40"/>
        <v>49.983791619021503</v>
      </c>
      <c r="M230" s="22">
        <f t="shared" si="32"/>
        <v>2.2399999999999962</v>
      </c>
      <c r="N230">
        <f t="shared" si="36"/>
        <v>49.834883892676359</v>
      </c>
      <c r="O230">
        <f t="shared" si="34"/>
        <v>0.1651161073236409</v>
      </c>
      <c r="P230">
        <f t="shared" si="37"/>
        <v>2.8488364738850294</v>
      </c>
      <c r="Q230">
        <f t="shared" si="38"/>
        <v>-0.16200343886865198</v>
      </c>
      <c r="R230">
        <f t="shared" si="35"/>
        <v>-6.0246650936399675</v>
      </c>
    </row>
    <row r="231" spans="8:18" x14ac:dyDescent="0.25">
      <c r="H231" s="22">
        <f t="shared" si="31"/>
        <v>2.249999999999996</v>
      </c>
      <c r="I231" s="15">
        <f t="shared" si="33"/>
        <v>49.666707559652437</v>
      </c>
      <c r="J231">
        <f t="shared" si="39"/>
        <v>49.685059740474209</v>
      </c>
      <c r="K231">
        <f t="shared" si="40"/>
        <v>49.984152580240796</v>
      </c>
      <c r="M231" s="22">
        <f t="shared" si="32"/>
        <v>2.249999999999996</v>
      </c>
      <c r="N231">
        <f t="shared" si="36"/>
        <v>49.836488186557951</v>
      </c>
      <c r="O231">
        <f t="shared" si="34"/>
        <v>0.16351181344204946</v>
      </c>
      <c r="P231">
        <f t="shared" si="37"/>
        <v>2.8504796134888579</v>
      </c>
      <c r="Q231">
        <f t="shared" si="38"/>
        <v>-0.16042938815914454</v>
      </c>
      <c r="R231">
        <f t="shared" si="35"/>
        <v>-6.0247742660986319</v>
      </c>
    </row>
    <row r="232" spans="8:18" x14ac:dyDescent="0.25">
      <c r="H232" s="22">
        <f t="shared" si="31"/>
        <v>2.2599999999999958</v>
      </c>
      <c r="I232" s="15">
        <f t="shared" si="33"/>
        <v>49.674047955312098</v>
      </c>
      <c r="J232">
        <f t="shared" si="39"/>
        <v>49.692073471224539</v>
      </c>
      <c r="K232">
        <f t="shared" si="40"/>
        <v>49.984505502840932</v>
      </c>
      <c r="M232" s="22">
        <f t="shared" si="32"/>
        <v>2.2599999999999958</v>
      </c>
      <c r="N232">
        <f t="shared" si="36"/>
        <v>49.83807689286968</v>
      </c>
      <c r="O232">
        <f t="shared" si="34"/>
        <v>0.16192310713032043</v>
      </c>
      <c r="P232">
        <f t="shared" si="37"/>
        <v>2.8521067880917199</v>
      </c>
      <c r="Q232">
        <f t="shared" si="38"/>
        <v>-0.15887063117290268</v>
      </c>
      <c r="R232">
        <f t="shared" si="35"/>
        <v>-6.0248823778206226</v>
      </c>
    </row>
    <row r="233" spans="8:18" x14ac:dyDescent="0.25">
      <c r="H233" s="22">
        <f t="shared" si="31"/>
        <v>2.2699999999999956</v>
      </c>
      <c r="I233" s="15">
        <f t="shared" si="33"/>
        <v>49.681226686913647</v>
      </c>
      <c r="J233">
        <f t="shared" si="39"/>
        <v>49.698931005942292</v>
      </c>
      <c r="K233">
        <f t="shared" si="40"/>
        <v>49.984850565842244</v>
      </c>
      <c r="M233" s="22">
        <f t="shared" si="32"/>
        <v>2.2699999999999956</v>
      </c>
      <c r="N233">
        <f t="shared" si="36"/>
        <v>49.839650163062807</v>
      </c>
      <c r="O233">
        <f t="shared" si="34"/>
        <v>0.1603498369371934</v>
      </c>
      <c r="P233">
        <f t="shared" si="37"/>
        <v>2.8537181528120574</v>
      </c>
      <c r="Q233">
        <f t="shared" si="38"/>
        <v>-0.15732701931270299</v>
      </c>
      <c r="R233">
        <f t="shared" si="35"/>
        <v>-6.0249894391122476</v>
      </c>
    </row>
    <row r="234" spans="8:18" x14ac:dyDescent="0.25">
      <c r="H234" s="22">
        <f t="shared" si="31"/>
        <v>2.2799999999999954</v>
      </c>
      <c r="I234" s="15">
        <f t="shared" si="33"/>
        <v>49.68824731492834</v>
      </c>
      <c r="J234">
        <f t="shared" si="39"/>
        <v>49.705635823118648</v>
      </c>
      <c r="K234">
        <f t="shared" si="40"/>
        <v>49.985187944278273</v>
      </c>
      <c r="M234" s="22">
        <f t="shared" si="32"/>
        <v>2.2799999999999954</v>
      </c>
      <c r="N234">
        <f t="shared" si="36"/>
        <v>49.841208147117072</v>
      </c>
      <c r="O234">
        <f t="shared" si="34"/>
        <v>0.15879185288292774</v>
      </c>
      <c r="P234">
        <f t="shared" si="37"/>
        <v>2.8553138612611582</v>
      </c>
      <c r="Q234">
        <f t="shared" si="38"/>
        <v>-0.15579840542656598</v>
      </c>
      <c r="R234">
        <f t="shared" si="35"/>
        <v>-6.0250954601796405</v>
      </c>
    </row>
    <row r="235" spans="8:18" x14ac:dyDescent="0.25">
      <c r="H235" s="22">
        <f t="shared" si="31"/>
        <v>2.2899999999999952</v>
      </c>
      <c r="I235" s="15">
        <f t="shared" si="33"/>
        <v>49.695113321412016</v>
      </c>
      <c r="J235">
        <f t="shared" si="39"/>
        <v>49.712191323778669</v>
      </c>
      <c r="K235">
        <f t="shared" si="40"/>
        <v>49.985517809284566</v>
      </c>
      <c r="M235" s="22">
        <f t="shared" si="32"/>
        <v>2.2899999999999952</v>
      </c>
      <c r="N235">
        <f t="shared" si="36"/>
        <v>49.842750993554993</v>
      </c>
      <c r="O235">
        <f t="shared" si="34"/>
        <v>0.1572490064450065</v>
      </c>
      <c r="P235">
        <f t="shared" si="37"/>
        <v>2.8568940655577979</v>
      </c>
      <c r="Q235">
        <f t="shared" si="38"/>
        <v>-0.15428464379212414</v>
      </c>
      <c r="R235">
        <f t="shared" si="35"/>
        <v>-6.0252004511297663</v>
      </c>
    </row>
    <row r="236" spans="8:18" x14ac:dyDescent="0.25">
      <c r="H236" s="22">
        <f t="shared" si="31"/>
        <v>2.2999999999999949</v>
      </c>
      <c r="I236" s="15">
        <f t="shared" si="33"/>
        <v>49.701828111732077</v>
      </c>
      <c r="J236">
        <f t="shared" si="39"/>
        <v>49.718600833206473</v>
      </c>
      <c r="K236">
        <f t="shared" si="40"/>
        <v>49.985840328185468</v>
      </c>
      <c r="M236" s="22">
        <f t="shared" si="32"/>
        <v>2.2999999999999949</v>
      </c>
      <c r="N236">
        <f t="shared" si="36"/>
        <v>49.844278849456003</v>
      </c>
      <c r="O236">
        <f t="shared" si="34"/>
        <v>0.1557211505439966</v>
      </c>
      <c r="P236">
        <f t="shared" si="37"/>
        <v>2.8584589163427427</v>
      </c>
      <c r="Q236">
        <f t="shared" si="38"/>
        <v>-0.15278559010099002</v>
      </c>
      <c r="R236">
        <f t="shared" si="35"/>
        <v>-6.0253044219714589</v>
      </c>
    </row>
    <row r="237" spans="8:18" x14ac:dyDescent="0.25">
      <c r="H237" s="22">
        <f t="shared" si="31"/>
        <v>2.3099999999999947</v>
      </c>
      <c r="I237" s="15">
        <f t="shared" si="33"/>
        <v>49.708395016256489</v>
      </c>
      <c r="J237">
        <f t="shared" si="39"/>
        <v>49.724867602631981</v>
      </c>
      <c r="K237">
        <f t="shared" si="40"/>
        <v>49.986155664579009</v>
      </c>
      <c r="M237" s="22">
        <f t="shared" si="32"/>
        <v>2.3099999999999947</v>
      </c>
      <c r="N237">
        <f t="shared" si="36"/>
        <v>49.845791860470506</v>
      </c>
      <c r="O237">
        <f t="shared" si="34"/>
        <v>0.1542081395294943</v>
      </c>
      <c r="P237">
        <f t="shared" si="37"/>
        <v>2.86000856279311</v>
      </c>
      <c r="Q237">
        <f t="shared" si="38"/>
        <v>-0.15130110145022968</v>
      </c>
      <c r="R237">
        <f t="shared" si="35"/>
        <v>-6.025407382616204</v>
      </c>
    </row>
    <row r="238" spans="8:18" x14ac:dyDescent="0.25">
      <c r="H238" s="22">
        <f t="shared" ref="H238:H277" si="41">H237+$E$8</f>
        <v>2.3199999999999945</v>
      </c>
      <c r="I238" s="15">
        <f t="shared" si="33"/>
        <v>49.714817292005591</v>
      </c>
      <c r="J238">
        <f t="shared" si="39"/>
        <v>49.730994810880105</v>
      </c>
      <c r="K238">
        <f t="shared" si="40"/>
        <v>49.986463978419884</v>
      </c>
      <c r="M238" s="22">
        <f t="shared" ref="M238:M277" si="42">M237+$E$8</f>
        <v>2.3199999999999945</v>
      </c>
      <c r="N238">
        <f t="shared" si="36"/>
        <v>49.847290170833737</v>
      </c>
      <c r="O238">
        <f t="shared" si="34"/>
        <v>0.15270982916626252</v>
      </c>
      <c r="P238">
        <f t="shared" si="37"/>
        <v>2.8615431526365889</v>
      </c>
      <c r="Q238">
        <f t="shared" si="38"/>
        <v>-0.14983103632317807</v>
      </c>
      <c r="R238">
        <f t="shared" si="35"/>
        <v>-6.0255093428792392</v>
      </c>
    </row>
    <row r="239" spans="8:18" x14ac:dyDescent="0.25">
      <c r="H239" s="22">
        <f t="shared" si="41"/>
        <v>2.3299999999999943</v>
      </c>
      <c r="I239" s="15">
        <f t="shared" si="33"/>
        <v>49.721098124267456</v>
      </c>
      <c r="J239">
        <f t="shared" si="39"/>
        <v>49.736985565983218</v>
      </c>
      <c r="K239">
        <f t="shared" si="40"/>
        <v>49.986765426100582</v>
      </c>
      <c r="M239" s="22">
        <f t="shared" si="42"/>
        <v>2.3299999999999943</v>
      </c>
      <c r="N239">
        <f t="shared" si="36"/>
        <v>49.848773923379511</v>
      </c>
      <c r="O239">
        <f t="shared" si="34"/>
        <v>0.15122607662048893</v>
      </c>
      <c r="P239">
        <f t="shared" si="37"/>
        <v>2.8630628321655225</v>
      </c>
      <c r="Q239">
        <f t="shared" si="38"/>
        <v>-0.14837525457735978</v>
      </c>
      <c r="R239">
        <f t="shared" si="35"/>
        <v>-6.0256103124804756</v>
      </c>
    </row>
    <row r="240" spans="8:18" x14ac:dyDescent="0.25">
      <c r="H240" s="22">
        <f t="shared" si="41"/>
        <v>2.3399999999999941</v>
      </c>
      <c r="I240" s="15">
        <f t="shared" si="33"/>
        <v>49.727240628177725</v>
      </c>
      <c r="J240">
        <f t="shared" si="39"/>
        <v>49.742842906757694</v>
      </c>
      <c r="K240">
        <f t="shared" si="40"/>
        <v>49.987060160530746</v>
      </c>
      <c r="M240" s="22">
        <f t="shared" si="42"/>
        <v>2.3399999999999941</v>
      </c>
      <c r="N240">
        <f t="shared" si="36"/>
        <v>49.850243259553871</v>
      </c>
      <c r="O240">
        <f t="shared" si="34"/>
        <v>0.1497567404461293</v>
      </c>
      <c r="P240">
        <f t="shared" si="37"/>
        <v>2.8645677462508554</v>
      </c>
      <c r="Q240">
        <f t="shared" si="38"/>
        <v>-0.14693361743596256</v>
      </c>
      <c r="R240">
        <f t="shared" si="35"/>
        <v>-6.0257103010452502</v>
      </c>
    </row>
    <row r="241" spans="8:18" x14ac:dyDescent="0.25">
      <c r="H241" s="22">
        <f t="shared" si="41"/>
        <v>2.3499999999999939</v>
      </c>
      <c r="I241" s="15">
        <f t="shared" si="33"/>
        <v>49.733247850264625</v>
      </c>
      <c r="J241">
        <f t="shared" si="39"/>
        <v>49.748569804345365</v>
      </c>
      <c r="K241">
        <f t="shared" si="40"/>
        <v>49.98734833121469</v>
      </c>
      <c r="M241" s="22">
        <f t="shared" si="42"/>
        <v>2.3499999999999939</v>
      </c>
      <c r="N241">
        <f t="shared" si="36"/>
        <v>49.851698319428522</v>
      </c>
      <c r="O241">
        <f t="shared" si="34"/>
        <v>0.1483016805714783</v>
      </c>
      <c r="P241">
        <f t="shared" si="37"/>
        <v>2.8660580383559435</v>
      </c>
      <c r="Q241">
        <f t="shared" si="38"/>
        <v>-0.14550598746509991</v>
      </c>
      <c r="R241">
        <f t="shared" si="35"/>
        <v>-6.0258093181055417</v>
      </c>
    </row>
    <row r="242" spans="8:18" x14ac:dyDescent="0.25">
      <c r="H242" s="22">
        <f t="shared" si="41"/>
        <v>2.3599999999999937</v>
      </c>
      <c r="I242" s="15">
        <f t="shared" si="33"/>
        <v>49.739122769960005</v>
      </c>
      <c r="J242">
        <f t="shared" si="39"/>
        <v>49.754169163720633</v>
      </c>
      <c r="K242">
        <f t="shared" si="40"/>
        <v>49.987630084327286</v>
      </c>
      <c r="M242" s="22">
        <f t="shared" si="42"/>
        <v>2.3599999999999937</v>
      </c>
      <c r="N242">
        <f t="shared" si="36"/>
        <v>49.853139241714224</v>
      </c>
      <c r="O242">
        <f t="shared" si="34"/>
        <v>0.14686075828577572</v>
      </c>
      <c r="P242">
        <f t="shared" si="37"/>
        <v>2.8675338505502297</v>
      </c>
      <c r="Q242">
        <f t="shared" si="38"/>
        <v>-0.14409222857025838</v>
      </c>
      <c r="R242">
        <f t="shared" si="35"/>
        <v>-6.0259073731006056</v>
      </c>
    </row>
    <row r="243" spans="8:18" x14ac:dyDescent="0.25">
      <c r="H243" s="22">
        <f t="shared" si="41"/>
        <v>2.3699999999999934</v>
      </c>
      <c r="I243" s="15">
        <f t="shared" si="33"/>
        <v>49.744868301077034</v>
      </c>
      <c r="J243">
        <f t="shared" si="39"/>
        <v>49.759643825164005</v>
      </c>
      <c r="K243">
        <f t="shared" si="40"/>
        <v>49.987905562788072</v>
      </c>
      <c r="M243" s="22">
        <f t="shared" si="42"/>
        <v>2.3699999999999934</v>
      </c>
      <c r="N243">
        <f t="shared" si="36"/>
        <v>49.854566163773995</v>
      </c>
      <c r="O243">
        <f t="shared" si="34"/>
        <v>0.14543383622600459</v>
      </c>
      <c r="P243">
        <f t="shared" si="37"/>
        <v>2.8689953235227885</v>
      </c>
      <c r="Q243">
        <f t="shared" si="38"/>
        <v>-0.14269220597711296</v>
      </c>
      <c r="R243">
        <f t="shared" si="35"/>
        <v>-6.026004475378044</v>
      </c>
    </row>
    <row r="244" spans="8:18" x14ac:dyDescent="0.25">
      <c r="H244" s="22">
        <f t="shared" si="41"/>
        <v>2.3799999999999932</v>
      </c>
      <c r="I244" s="15">
        <f t="shared" si="33"/>
        <v>49.750487293255382</v>
      </c>
      <c r="J244">
        <f t="shared" si="39"/>
        <v>49.764996565702852</v>
      </c>
      <c r="K244">
        <f t="shared" si="40"/>
        <v>49.988174906333761</v>
      </c>
      <c r="M244" s="22">
        <f t="shared" si="42"/>
        <v>2.3799999999999932</v>
      </c>
      <c r="N244">
        <f t="shared" si="36"/>
        <v>49.855979221636225</v>
      </c>
      <c r="O244">
        <f t="shared" si="34"/>
        <v>0.14402077836377458</v>
      </c>
      <c r="P244">
        <f t="shared" si="37"/>
        <v>2.8704425965957374</v>
      </c>
      <c r="Q244">
        <f t="shared" si="38"/>
        <v>-0.1413057862230005</v>
      </c>
      <c r="R244">
        <f t="shared" si="35"/>
        <v>-6.026100634194564</v>
      </c>
    </row>
    <row r="245" spans="8:18" x14ac:dyDescent="0.25">
      <c r="H245" s="22">
        <f t="shared" si="41"/>
        <v>2.389999999999993</v>
      </c>
      <c r="I245" s="15">
        <f t="shared" si="33"/>
        <v>49.755982533374556</v>
      </c>
      <c r="J245">
        <f t="shared" si="39"/>
        <v>49.770230100520045</v>
      </c>
      <c r="K245">
        <f t="shared" si="40"/>
        <v>49.988438251589137</v>
      </c>
      <c r="M245" s="22">
        <f t="shared" si="42"/>
        <v>2.389999999999993</v>
      </c>
      <c r="N245">
        <f t="shared" si="36"/>
        <v>49.85737855000761</v>
      </c>
      <c r="O245">
        <f t="shared" si="34"/>
        <v>0.14262144999239013</v>
      </c>
      <c r="P245">
        <f t="shared" si="37"/>
        <v>2.8718758077375184</v>
      </c>
      <c r="Q245">
        <f t="shared" si="38"/>
        <v>-0.13993283713844562</v>
      </c>
      <c r="R245">
        <f t="shared" si="35"/>
        <v>-6.0261958587170481</v>
      </c>
    </row>
    <row r="246" spans="8:18" x14ac:dyDescent="0.25">
      <c r="H246" s="22">
        <f t="shared" si="41"/>
        <v>2.3999999999999928</v>
      </c>
      <c r="I246" s="15">
        <f t="shared" si="33"/>
        <v>49.761356746936166</v>
      </c>
      <c r="J246">
        <f t="shared" si="39"/>
        <v>49.77534708433123</v>
      </c>
      <c r="K246">
        <f t="shared" si="40"/>
        <v>49.988695732136335</v>
      </c>
      <c r="M246" s="22">
        <f t="shared" si="42"/>
        <v>2.3999999999999928</v>
      </c>
      <c r="N246">
        <f t="shared" si="36"/>
        <v>49.858764282286039</v>
      </c>
      <c r="O246">
        <f t="shared" si="34"/>
        <v>0.14123571771396115</v>
      </c>
      <c r="P246">
        <f t="shared" si="37"/>
        <v>2.8732950935760502</v>
      </c>
      <c r="Q246">
        <f t="shared" si="38"/>
        <v>-0.1385732278428975</v>
      </c>
      <c r="R246">
        <f t="shared" si="35"/>
        <v>-6.0262901580231647</v>
      </c>
    </row>
    <row r="247" spans="8:18" x14ac:dyDescent="0.25">
      <c r="H247" s="22">
        <f t="shared" si="41"/>
        <v>2.4099999999999926</v>
      </c>
      <c r="I247" s="15">
        <f t="shared" si="33"/>
        <v>49.766612599415652</v>
      </c>
      <c r="J247">
        <f t="shared" si="39"/>
        <v>49.780350112731441</v>
      </c>
      <c r="K247">
        <f t="shared" si="40"/>
        <v>49.98894747858261</v>
      </c>
      <c r="M247" s="22">
        <f t="shared" si="42"/>
        <v>2.4099999999999926</v>
      </c>
      <c r="N247">
        <f t="shared" si="36"/>
        <v>49.860136550573266</v>
      </c>
      <c r="O247">
        <f t="shared" si="34"/>
        <v>0.13986344942673412</v>
      </c>
      <c r="P247">
        <f t="shared" si="37"/>
        <v>2.8747005894117534</v>
      </c>
      <c r="Q247">
        <f t="shared" si="38"/>
        <v>-0.13722682872270298</v>
      </c>
      <c r="R247">
        <f t="shared" si="35"/>
        <v>-6.0263835411025211</v>
      </c>
    </row>
    <row r="248" spans="8:18" x14ac:dyDescent="0.25">
      <c r="H248" s="22">
        <f t="shared" si="41"/>
        <v>2.4199999999999924</v>
      </c>
      <c r="I248" s="15">
        <f t="shared" si="33"/>
        <v>49.771752697584333</v>
      </c>
      <c r="J248">
        <f t="shared" si="39"/>
        <v>49.785241723511724</v>
      </c>
      <c r="K248">
        <f t="shared" si="40"/>
        <v>49.989193618626601</v>
      </c>
      <c r="M248" s="22">
        <f t="shared" si="42"/>
        <v>2.4199999999999924</v>
      </c>
      <c r="N248">
        <f t="shared" si="36"/>
        <v>49.861495485687541</v>
      </c>
      <c r="O248">
        <f t="shared" si="34"/>
        <v>0.13850451431245858</v>
      </c>
      <c r="P248">
        <f t="shared" si="37"/>
        <v>2.8760924292304493</v>
      </c>
      <c r="Q248">
        <f t="shared" si="38"/>
        <v>-0.1358935114275539</v>
      </c>
      <c r="R248">
        <f t="shared" si="35"/>
        <v>-6.0264760168572646</v>
      </c>
    </row>
    <row r="249" spans="8:18" x14ac:dyDescent="0.25">
      <c r="H249" s="22">
        <f t="shared" si="41"/>
        <v>2.4299999999999922</v>
      </c>
      <c r="I249" s="15">
        <f t="shared" si="33"/>
        <v>49.776779590802285</v>
      </c>
      <c r="J249">
        <f t="shared" si="39"/>
        <v>49.790024397946432</v>
      </c>
      <c r="K249">
        <f t="shared" si="40"/>
        <v>49.989434277123081</v>
      </c>
      <c r="M249" s="22">
        <f t="shared" si="42"/>
        <v>2.4299999999999922</v>
      </c>
      <c r="N249">
        <f t="shared" si="36"/>
        <v>49.86284121717604</v>
      </c>
      <c r="O249">
        <f t="shared" si="34"/>
        <v>0.13715878282395977</v>
      </c>
      <c r="P249">
        <f t="shared" si="37"/>
        <v>2.8774707457161313</v>
      </c>
      <c r="Q249">
        <f t="shared" si="38"/>
        <v>-0.13457314884988136</v>
      </c>
      <c r="R249">
        <f t="shared" si="35"/>
        <v>-6.0265675941031844</v>
      </c>
    </row>
    <row r="250" spans="8:18" x14ac:dyDescent="0.25">
      <c r="H250" s="22">
        <f t="shared" si="41"/>
        <v>2.439999999999992</v>
      </c>
      <c r="I250" s="15">
        <f t="shared" si="33"/>
        <v>49.781695772282774</v>
      </c>
      <c r="J250">
        <f t="shared" si="39"/>
        <v>49.794700562051837</v>
      </c>
      <c r="K250">
        <f t="shared" si="40"/>
        <v>49.989669576146305</v>
      </c>
      <c r="M250" s="22">
        <f t="shared" si="42"/>
        <v>2.439999999999992</v>
      </c>
      <c r="N250">
        <f t="shared" si="36"/>
        <v>49.864173873327267</v>
      </c>
      <c r="O250">
        <f t="shared" si="34"/>
        <v>0.13582612667273253</v>
      </c>
      <c r="P250">
        <f t="shared" si="37"/>
        <v>2.8788356702636149</v>
      </c>
      <c r="Q250">
        <f t="shared" si="38"/>
        <v>-0.13326561512272406</v>
      </c>
      <c r="R250">
        <f t="shared" si="35"/>
        <v>-6.0266582815702403</v>
      </c>
    </row>
    <row r="251" spans="8:18" x14ac:dyDescent="0.25">
      <c r="H251" s="22">
        <f t="shared" si="41"/>
        <v>2.4499999999999917</v>
      </c>
      <c r="I251" s="15">
        <f t="shared" si="33"/>
        <v>49.786503680328771</v>
      </c>
      <c r="J251">
        <f t="shared" si="39"/>
        <v>49.799272587816759</v>
      </c>
      <c r="K251">
        <f t="shared" si="40"/>
        <v>49.989899635051941</v>
      </c>
      <c r="M251" s="22">
        <f t="shared" si="42"/>
        <v>2.4499999999999917</v>
      </c>
      <c r="N251">
        <f t="shared" si="36"/>
        <v>49.86549358118323</v>
      </c>
      <c r="O251">
        <f t="shared" si="34"/>
        <v>0.13450641881676972</v>
      </c>
      <c r="P251">
        <f t="shared" si="37"/>
        <v>2.8801873329910626</v>
      </c>
      <c r="Q251">
        <f t="shared" si="38"/>
        <v>-0.13197078559628039</v>
      </c>
      <c r="R251">
        <f t="shared" si="35"/>
        <v>-6.0267480879037389</v>
      </c>
    </row>
    <row r="252" spans="8:18" x14ac:dyDescent="0.25">
      <c r="H252" s="22">
        <f t="shared" si="41"/>
        <v>2.4599999999999915</v>
      </c>
      <c r="I252" s="15">
        <f t="shared" si="33"/>
        <v>49.791205699542388</v>
      </c>
      <c r="J252">
        <f t="shared" si="39"/>
        <v>49.803742794405728</v>
      </c>
      <c r="K252">
        <f t="shared" si="40"/>
        <v>49.990124570537589</v>
      </c>
      <c r="M252" s="22">
        <f t="shared" si="42"/>
        <v>2.4599999999999915</v>
      </c>
      <c r="N252">
        <f t="shared" si="36"/>
        <v>49.866800466551602</v>
      </c>
      <c r="O252">
        <f t="shared" si="34"/>
        <v>0.13319953344839774</v>
      </c>
      <c r="P252">
        <f t="shared" si="37"/>
        <v>2.8815258627523885</v>
      </c>
      <c r="Q252">
        <f t="shared" si="38"/>
        <v>-0.13068853683719794</v>
      </c>
      <c r="R252">
        <f t="shared" si="35"/>
        <v>-6.0268370216648286</v>
      </c>
    </row>
    <row r="253" spans="8:18" x14ac:dyDescent="0.25">
      <c r="H253" s="22">
        <f t="shared" si="41"/>
        <v>2.4699999999999913</v>
      </c>
      <c r="I253" s="15">
        <f t="shared" si="33"/>
        <v>49.795804162007485</v>
      </c>
      <c r="J253">
        <f t="shared" si="39"/>
        <v>49.808113449335409</v>
      </c>
      <c r="K253">
        <f t="shared" si="40"/>
        <v>49.990344496701994</v>
      </c>
      <c r="M253" s="22">
        <f t="shared" si="42"/>
        <v>2.4699999999999913</v>
      </c>
      <c r="N253">
        <f t="shared" si="36"/>
        <v>49.868094654017654</v>
      </c>
      <c r="O253">
        <f t="shared" si="34"/>
        <v>0.13190534598234649</v>
      </c>
      <c r="P253">
        <f t="shared" si="37"/>
        <v>2.8828513871495423</v>
      </c>
      <c r="Q253">
        <f t="shared" si="38"/>
        <v>-0.12941874660512553</v>
      </c>
      <c r="R253">
        <f t="shared" si="35"/>
        <v>-6.026925091331675</v>
      </c>
    </row>
    <row r="254" spans="8:18" x14ac:dyDescent="0.25">
      <c r="H254" s="22">
        <f t="shared" si="41"/>
        <v>2.4799999999999911</v>
      </c>
      <c r="I254" s="15">
        <f t="shared" si="33"/>
        <v>49.800301348446389</v>
      </c>
      <c r="J254">
        <f t="shared" si="39"/>
        <v>49.81238676962478</v>
      </c>
      <c r="K254">
        <f t="shared" si="40"/>
        <v>49.990559525102917</v>
      </c>
      <c r="M254" s="22">
        <f t="shared" si="42"/>
        <v>2.4799999999999911</v>
      </c>
      <c r="N254">
        <f t="shared" si="36"/>
        <v>49.869376266956209</v>
      </c>
      <c r="O254">
        <f t="shared" si="34"/>
        <v>0.13062373304379093</v>
      </c>
      <c r="P254">
        <f t="shared" si="37"/>
        <v>2.8841640325446729</v>
      </c>
      <c r="Q254">
        <f t="shared" si="38"/>
        <v>-0.12816129385555541</v>
      </c>
      <c r="R254">
        <f t="shared" si="35"/>
        <v>-6.0270123052998166</v>
      </c>
    </row>
    <row r="255" spans="8:18" x14ac:dyDescent="0.25">
      <c r="H255" s="22">
        <f t="shared" si="41"/>
        <v>2.4899999999999909</v>
      </c>
      <c r="I255" s="15">
        <f t="shared" si="33"/>
        <v>49.80469948935103</v>
      </c>
      <c r="J255">
        <f t="shared" si="39"/>
        <v>49.816564922919738</v>
      </c>
      <c r="K255">
        <f t="shared" si="40"/>
        <v>49.99076976481372</v>
      </c>
      <c r="M255" s="22">
        <f t="shared" si="42"/>
        <v>2.4899999999999909</v>
      </c>
      <c r="N255">
        <f t="shared" si="36"/>
        <v>49.870645427543323</v>
      </c>
      <c r="O255">
        <f t="shared" si="34"/>
        <v>0.12935457245667692</v>
      </c>
      <c r="P255">
        <f t="shared" si="37"/>
        <v>2.8854639240721753</v>
      </c>
      <c r="Q255">
        <f t="shared" si="38"/>
        <v>-0.12691605871140155</v>
      </c>
      <c r="R255">
        <f t="shared" si="35"/>
        <v>-6.0270986718834765</v>
      </c>
    </row>
    <row r="256" spans="8:18" x14ac:dyDescent="0.25">
      <c r="H256" s="22">
        <f t="shared" si="41"/>
        <v>2.4999999999999907</v>
      </c>
      <c r="I256" s="15">
        <f t="shared" si="33"/>
        <v>49.80900076608927</v>
      </c>
      <c r="J256">
        <f t="shared" si="39"/>
        <v>49.820650028592617</v>
      </c>
      <c r="K256">
        <f t="shared" si="40"/>
        <v>49.990975322478711</v>
      </c>
      <c r="M256" s="22">
        <f t="shared" si="42"/>
        <v>2.4999999999999907</v>
      </c>
      <c r="N256">
        <f t="shared" si="36"/>
        <v>49.871902256767996</v>
      </c>
      <c r="O256">
        <f t="shared" si="34"/>
        <v>0.12809774323200429</v>
      </c>
      <c r="P256">
        <f t="shared" si="37"/>
        <v>2.8867511856506187</v>
      </c>
      <c r="Q256">
        <f t="shared" si="38"/>
        <v>-0.12568292246726287</v>
      </c>
      <c r="R256">
        <f t="shared" si="35"/>
        <v>-6.0271841993159008</v>
      </c>
    </row>
    <row r="257" spans="8:18" x14ac:dyDescent="0.25">
      <c r="H257" s="22">
        <f t="shared" si="41"/>
        <v>2.5099999999999905</v>
      </c>
      <c r="I257" s="15">
        <f t="shared" si="33"/>
        <v>49.813207311986716</v>
      </c>
      <c r="J257">
        <f t="shared" si="39"/>
        <v>49.824644158817264</v>
      </c>
      <c r="K257">
        <f t="shared" si="40"/>
        <v>49.991176302367208</v>
      </c>
      <c r="M257" s="22">
        <f t="shared" si="42"/>
        <v>2.5099999999999905</v>
      </c>
      <c r="N257">
        <f t="shared" si="36"/>
        <v>49.873146874443663</v>
      </c>
      <c r="O257">
        <f t="shared" si="34"/>
        <v>0.12685312555633743</v>
      </c>
      <c r="P257">
        <f t="shared" si="37"/>
        <v>2.8880259399945603</v>
      </c>
      <c r="Q257">
        <f t="shared" si="38"/>
        <v>-0.12446176756668592</v>
      </c>
      <c r="R257">
        <f t="shared" si="35"/>
        <v>-6.0272688957504617</v>
      </c>
    </row>
    <row r="258" spans="8:18" x14ac:dyDescent="0.25">
      <c r="H258" s="22">
        <f t="shared" si="41"/>
        <v>2.5199999999999902</v>
      </c>
      <c r="I258" s="15">
        <f t="shared" si="33"/>
        <v>49.817321213384893</v>
      </c>
      <c r="J258">
        <f t="shared" si="39"/>
        <v>49.828549339620139</v>
      </c>
      <c r="K258">
        <f t="shared" si="40"/>
        <v>49.991372806426462</v>
      </c>
      <c r="M258" s="22">
        <f t="shared" si="42"/>
        <v>2.5199999999999902</v>
      </c>
      <c r="N258">
        <f t="shared" si="36"/>
        <v>49.874379399219656</v>
      </c>
      <c r="O258">
        <f t="shared" si="34"/>
        <v>0.1256206007803442</v>
      </c>
      <c r="P258">
        <f t="shared" si="37"/>
        <v>2.8892883086262438</v>
      </c>
      <c r="Q258">
        <f t="shared" si="38"/>
        <v>-0.12325247759932267</v>
      </c>
      <c r="R258">
        <f t="shared" si="35"/>
        <v>-6.0273527692611895</v>
      </c>
    </row>
    <row r="259" spans="8:18" x14ac:dyDescent="0.25">
      <c r="H259" s="22">
        <f t="shared" si="41"/>
        <v>2.52999999999999</v>
      </c>
      <c r="I259" s="15">
        <f t="shared" si="33"/>
        <v>49.821344510675949</v>
      </c>
      <c r="J259">
        <f t="shared" si="39"/>
        <v>49.832367551908021</v>
      </c>
      <c r="K259">
        <f t="shared" si="40"/>
        <v>49.991564934333347</v>
      </c>
      <c r="M259" s="22">
        <f t="shared" si="42"/>
        <v>2.52999999999999</v>
      </c>
      <c r="N259">
        <f t="shared" si="36"/>
        <v>49.875599948592459</v>
      </c>
      <c r="O259">
        <f t="shared" si="34"/>
        <v>0.12440005140754096</v>
      </c>
      <c r="P259">
        <f t="shared" si="37"/>
        <v>2.8905384118871833</v>
      </c>
      <c r="Q259">
        <f t="shared" si="38"/>
        <v>-0.12205493728032479</v>
      </c>
      <c r="R259">
        <f t="shared" si="35"/>
        <v>-6.027435827843842</v>
      </c>
    </row>
    <row r="260" spans="8:18" x14ac:dyDescent="0.25">
      <c r="H260" s="22">
        <f t="shared" si="41"/>
        <v>2.5399999999999898</v>
      </c>
      <c r="I260" s="15">
        <f t="shared" si="33"/>
        <v>49.825279199314672</v>
      </c>
      <c r="J260">
        <f t="shared" si="39"/>
        <v>49.836100732472822</v>
      </c>
      <c r="K260">
        <f t="shared" si="40"/>
        <v>49.991752783544932</v>
      </c>
      <c r="M260" s="22">
        <f t="shared" si="42"/>
        <v>2.5399999999999898</v>
      </c>
      <c r="N260">
        <f t="shared" si="36"/>
        <v>49.87680863891697</v>
      </c>
      <c r="O260">
        <f t="shared" si="34"/>
        <v>0.12319136108303042</v>
      </c>
      <c r="P260">
        <f t="shared" si="37"/>
        <v>2.8917763689496363</v>
      </c>
      <c r="Q260">
        <f t="shared" si="38"/>
        <v>-0.12086903245105418</v>
      </c>
      <c r="R260">
        <f t="shared" si="35"/>
        <v>-6.0275180794163123</v>
      </c>
    </row>
    <row r="261" spans="8:18" x14ac:dyDescent="0.25">
      <c r="H261" s="22">
        <f t="shared" si="41"/>
        <v>2.5499999999999896</v>
      </c>
      <c r="I261" s="15">
        <f t="shared" si="33"/>
        <v>49.829127230808169</v>
      </c>
      <c r="J261">
        <f t="shared" si="39"/>
        <v>49.839750774974036</v>
      </c>
      <c r="K261">
        <f t="shared" si="40"/>
        <v>49.991936449347911</v>
      </c>
      <c r="M261" s="22">
        <f t="shared" si="42"/>
        <v>2.5499999999999896</v>
      </c>
      <c r="N261">
        <f t="shared" si="36"/>
        <v>49.878005585417554</v>
      </c>
      <c r="O261">
        <f t="shared" si="34"/>
        <v>0.12199441458244564</v>
      </c>
      <c r="P261">
        <f t="shared" si="37"/>
        <v>2.8930022978279637</v>
      </c>
      <c r="Q261">
        <f t="shared" si="38"/>
        <v>-0.11969465005847724</v>
      </c>
      <c r="R261">
        <f t="shared" si="35"/>
        <v>-6.0275995318196491</v>
      </c>
    </row>
    <row r="262" spans="8:18" x14ac:dyDescent="0.25">
      <c r="H262" s="22">
        <f t="shared" si="41"/>
        <v>2.5599999999999894</v>
      </c>
      <c r="I262" s="15">
        <f t="shared" si="33"/>
        <v>49.832890513683765</v>
      </c>
      <c r="J262">
        <f t="shared" si="39"/>
        <v>49.843319530899279</v>
      </c>
      <c r="K262">
        <f t="shared" si="40"/>
        <v>49.992116024906942</v>
      </c>
      <c r="M262" s="22">
        <f t="shared" si="42"/>
        <v>2.5599999999999894</v>
      </c>
      <c r="N262">
        <f t="shared" si="36"/>
        <v>49.879190902199028</v>
      </c>
      <c r="O262">
        <f t="shared" si="34"/>
        <v>0.12080909780097215</v>
      </c>
      <c r="P262">
        <f t="shared" si="37"/>
        <v>2.894216315389881</v>
      </c>
      <c r="Q262">
        <f t="shared" si="38"/>
        <v>-0.11853167814734888</v>
      </c>
      <c r="R262">
        <f t="shared" si="35"/>
        <v>-6.0276801928187593</v>
      </c>
    </row>
    <row r="263" spans="8:18" x14ac:dyDescent="0.25">
      <c r="H263" s="22">
        <f t="shared" si="41"/>
        <v>2.5699999999999892</v>
      </c>
      <c r="I263" s="15">
        <f t="shared" ref="I263:I306" si="43">DEGREES(-2*$E$5/$C$6*$C$9/$C$8*$C$18*(1-EXP(-$C$20*H263)))</f>
        <v>49.836570914435626</v>
      </c>
      <c r="J263">
        <f t="shared" si="39"/>
        <v>49.846808810503489</v>
      </c>
      <c r="K263">
        <f t="shared" si="40"/>
        <v>49.992291601311905</v>
      </c>
      <c r="M263" s="22">
        <f t="shared" si="42"/>
        <v>2.5699999999999892</v>
      </c>
      <c r="N263">
        <f t="shared" si="36"/>
        <v>49.880364702257573</v>
      </c>
      <c r="O263">
        <f t="shared" ref="O263:O306" si="44">$E$7-N263</f>
        <v>0.11963529774242687</v>
      </c>
      <c r="P263">
        <f t="shared" si="37"/>
        <v>2.8954185373675978</v>
      </c>
      <c r="Q263">
        <f t="shared" si="38"/>
        <v>-0.11738000585452824</v>
      </c>
      <c r="R263">
        <f t="shared" ref="R263:R305" si="45">$C$34*O263+$C$35*P263+$C$36*Q263</f>
        <v>-6.0277600701029588</v>
      </c>
    </row>
    <row r="264" spans="8:18" x14ac:dyDescent="0.25">
      <c r="H264" s="22">
        <f t="shared" si="41"/>
        <v>2.579999999999989</v>
      </c>
      <c r="I264" s="15">
        <f t="shared" si="43"/>
        <v>49.840170258450414</v>
      </c>
      <c r="J264">
        <f t="shared" si="39"/>
        <v>49.850220383727155</v>
      </c>
      <c r="K264">
        <f t="shared" si="40"/>
        <v>49.992463267624103</v>
      </c>
      <c r="M264" s="22">
        <f t="shared" si="42"/>
        <v>2.579999999999989</v>
      </c>
      <c r="N264">
        <f t="shared" ref="N264:N306" si="46">N263+$E$8*DEGREES($E$6*$C$5*$C$6^2*$E$5/(4*$C$7)*$C$8*RADIANS(N263)+$E$6*$C$5*$C$6*$E$5^2/(2*$C$7)*$C$9*RADIANS(R263))</f>
        <v>49.881527097491457</v>
      </c>
      <c r="O264">
        <f t="shared" si="44"/>
        <v>0.11847290250854314</v>
      </c>
      <c r="P264">
        <f t="shared" ref="P264:P305" si="47">P263+(O264+O263)*$E$8/2</f>
        <v>2.8966090783688525</v>
      </c>
      <c r="Q264">
        <f t="shared" ref="Q264:Q306" si="48">(O264-O263)/$E$8</f>
        <v>-0.11623952338837285</v>
      </c>
      <c r="R264">
        <f t="shared" si="45"/>
        <v>-6.0278391712870238</v>
      </c>
    </row>
    <row r="265" spans="8:18" x14ac:dyDescent="0.25">
      <c r="H265" s="22">
        <f t="shared" si="41"/>
        <v>2.5899999999999888</v>
      </c>
      <c r="I265" s="15">
        <f t="shared" si="43"/>
        <v>49.843690330912693</v>
      </c>
      <c r="J265">
        <f t="shared" ref="J265:J306" si="49">J264+$E$8*DEGREES($E$6*$C$5*$C$6^2*$E$5/(4*$C$7)*$C$8*RADIANS(J264) +$E$6*$C$5*$C$6*$E$5^2/(2*$C$7)*$C$9*$C$18)</f>
        <v>49.853555981094118</v>
      </c>
      <c r="K265">
        <f t="shared" si="40"/>
        <v>49.992631110921437</v>
      </c>
      <c r="M265" s="22">
        <f t="shared" si="42"/>
        <v>2.5899999999999888</v>
      </c>
      <c r="N265">
        <f t="shared" si="46"/>
        <v>49.882678198711744</v>
      </c>
      <c r="O265">
        <f t="shared" si="44"/>
        <v>0.11732180128825576</v>
      </c>
      <c r="P265">
        <f t="shared" si="47"/>
        <v>2.8977880518878365</v>
      </c>
      <c r="Q265">
        <f t="shared" si="48"/>
        <v>-0.11511012202873872</v>
      </c>
      <c r="R265">
        <f t="shared" si="45"/>
        <v>-6.0279175039116097</v>
      </c>
    </row>
    <row r="266" spans="8:18" x14ac:dyDescent="0.25">
      <c r="H266" s="22">
        <f t="shared" si="41"/>
        <v>2.5999999999999885</v>
      </c>
      <c r="I266" s="15">
        <f t="shared" si="43"/>
        <v>49.847132877690328</v>
      </c>
      <c r="J266">
        <f t="shared" si="49"/>
        <v>49.856817294589412</v>
      </c>
      <c r="K266">
        <f t="shared" si="40"/>
        <v>49.992795216342586</v>
      </c>
      <c r="M266" s="22">
        <f t="shared" si="42"/>
        <v>2.5999999999999885</v>
      </c>
      <c r="N266">
        <f t="shared" si="46"/>
        <v>49.883818115652829</v>
      </c>
      <c r="O266">
        <f t="shared" si="44"/>
        <v>0.11618188434717069</v>
      </c>
      <c r="P266">
        <f t="shared" si="47"/>
        <v>2.8989555703160135</v>
      </c>
      <c r="Q266">
        <f t="shared" si="48"/>
        <v>-0.11399169410850618</v>
      </c>
      <c r="R266">
        <f t="shared" si="45"/>
        <v>-6.0279950754441982</v>
      </c>
    </row>
    <row r="267" spans="8:18" x14ac:dyDescent="0.25">
      <c r="H267" s="22">
        <f t="shared" si="41"/>
        <v>2.6099999999999883</v>
      </c>
      <c r="I267" s="15">
        <f t="shared" si="43"/>
        <v>49.850499606200387</v>
      </c>
      <c r="J267">
        <f t="shared" si="49"/>
        <v>49.860005978517485</v>
      </c>
      <c r="K267">
        <f t="shared" si="40"/>
        <v>49.992955667130182</v>
      </c>
      <c r="M267" s="22">
        <f t="shared" si="42"/>
        <v>2.6099999999999883</v>
      </c>
      <c r="N267">
        <f t="shared" si="46"/>
        <v>49.884946956982915</v>
      </c>
      <c r="O267">
        <f t="shared" si="44"/>
        <v>0.11505304301708463</v>
      </c>
      <c r="P267">
        <f t="shared" si="47"/>
        <v>2.9001117449528349</v>
      </c>
      <c r="Q267">
        <f t="shared" si="48"/>
        <v>-0.11288413300860611</v>
      </c>
      <c r="R267">
        <f t="shared" si="45"/>
        <v>-6.0280718932796669</v>
      </c>
    </row>
    <row r="268" spans="8:18" x14ac:dyDescent="0.25">
      <c r="H268" s="22">
        <f t="shared" si="41"/>
        <v>2.6199999999999881</v>
      </c>
      <c r="I268" s="15">
        <f t="shared" si="43"/>
        <v>49.853792186255973</v>
      </c>
      <c r="J268">
        <f t="shared" si="49"/>
        <v>49.863123650341379</v>
      </c>
      <c r="K268">
        <f t="shared" si="40"/>
        <v>49.993112544673053</v>
      </c>
      <c r="M268" s="22">
        <f t="shared" si="42"/>
        <v>2.6199999999999881</v>
      </c>
      <c r="N268">
        <f t="shared" si="46"/>
        <v>49.886064830314375</v>
      </c>
      <c r="O268">
        <f t="shared" si="44"/>
        <v>0.11393516968562523</v>
      </c>
      <c r="P268">
        <f t="shared" si="47"/>
        <v>2.9012566860163482</v>
      </c>
      <c r="Q268">
        <f t="shared" si="48"/>
        <v>-0.11178733314594069</v>
      </c>
      <c r="R268">
        <f t="shared" si="45"/>
        <v>-6.0281479647410281</v>
      </c>
    </row>
    <row r="269" spans="8:18" x14ac:dyDescent="0.25">
      <c r="H269" s="22">
        <f t="shared" si="41"/>
        <v>2.6299999999999879</v>
      </c>
      <c r="I269" s="15">
        <f t="shared" si="43"/>
        <v>49.857012250894378</v>
      </c>
      <c r="J269">
        <f t="shared" si="49"/>
        <v>49.866171891503178</v>
      </c>
      <c r="K269">
        <f t="shared" si="40"/>
        <v>49.99326592854748</v>
      </c>
      <c r="M269" s="22">
        <f t="shared" si="42"/>
        <v>2.6299999999999879</v>
      </c>
      <c r="N269">
        <f t="shared" si="46"/>
        <v>49.887171842213988</v>
      </c>
      <c r="O269">
        <f t="shared" si="44"/>
        <v>0.11282815778601218</v>
      </c>
      <c r="P269">
        <f t="shared" si="47"/>
        <v>2.9023905026537062</v>
      </c>
      <c r="Q269">
        <f t="shared" si="48"/>
        <v>-0.11070118996130418</v>
      </c>
      <c r="R269">
        <f t="shared" si="45"/>
        <v>-6.0282232970802108</v>
      </c>
    </row>
    <row r="270" spans="8:18" x14ac:dyDescent="0.25">
      <c r="H270" s="22">
        <f t="shared" si="41"/>
        <v>2.6399999999999877</v>
      </c>
      <c r="I270" s="15">
        <f t="shared" si="43"/>
        <v>49.86016139718712</v>
      </c>
      <c r="J270">
        <f t="shared" si="49"/>
        <v>49.869152248226186</v>
      </c>
      <c r="K270">
        <f t="shared" si="40"/>
        <v>49.993415896557579</v>
      </c>
      <c r="M270" s="22">
        <f t="shared" si="42"/>
        <v>2.6399999999999877</v>
      </c>
      <c r="N270">
        <f t="shared" si="46"/>
        <v>49.888268098213125</v>
      </c>
      <c r="O270">
        <f t="shared" si="44"/>
        <v>0.1117319017868752</v>
      </c>
      <c r="P270">
        <f t="shared" si="47"/>
        <v>2.9035133029515707</v>
      </c>
      <c r="Q270">
        <f t="shared" si="48"/>
        <v>-0.10962559991369858</v>
      </c>
      <c r="R270">
        <f t="shared" si="45"/>
        <v>-6.0282978974786179</v>
      </c>
    </row>
    <row r="271" spans="8:18" x14ac:dyDescent="0.25">
      <c r="H271" s="22">
        <f t="shared" si="41"/>
        <v>2.6499999999999875</v>
      </c>
      <c r="I271" s="15">
        <f t="shared" si="43"/>
        <v>49.863241187031939</v>
      </c>
      <c r="J271">
        <f t="shared" si="49"/>
        <v>49.872066232299261</v>
      </c>
      <c r="K271">
        <f t="shared" si="40"/>
        <v>49.993562524774774</v>
      </c>
      <c r="M271" s="22">
        <f t="shared" si="42"/>
        <v>2.6499999999999875</v>
      </c>
      <c r="N271">
        <f t="shared" si="46"/>
        <v>49.889353702817793</v>
      </c>
      <c r="O271">
        <f t="shared" si="44"/>
        <v>0.11064629718220687</v>
      </c>
      <c r="P271">
        <f t="shared" si="47"/>
        <v>2.9046251939464161</v>
      </c>
      <c r="Q271">
        <f t="shared" si="48"/>
        <v>-0.10856046046683332</v>
      </c>
      <c r="R271">
        <f t="shared" si="45"/>
        <v>-6.0283717730479092</v>
      </c>
    </row>
    <row r="272" spans="8:18" x14ac:dyDescent="0.25">
      <c r="H272" s="22">
        <f t="shared" si="41"/>
        <v>2.6599999999999873</v>
      </c>
      <c r="I272" s="15">
        <f t="shared" si="43"/>
        <v>49.866253147927559</v>
      </c>
      <c r="J272">
        <f t="shared" si="49"/>
        <v>49.874915321843673</v>
      </c>
      <c r="K272">
        <f t="shared" si="40"/>
        <v>49.993705887576368</v>
      </c>
      <c r="M272" s="22">
        <f t="shared" si="42"/>
        <v>2.6599999999999873</v>
      </c>
      <c r="N272">
        <f t="shared" si="46"/>
        <v>49.890428759518606</v>
      </c>
      <c r="O272">
        <f t="shared" si="44"/>
        <v>0.10957124048139377</v>
      </c>
      <c r="P272">
        <f t="shared" si="47"/>
        <v>2.9057262816347342</v>
      </c>
      <c r="Q272">
        <f t="shared" si="48"/>
        <v>-0.10750567008130929</v>
      </c>
      <c r="R272">
        <f t="shared" si="45"/>
        <v>-6.0284449308306298</v>
      </c>
    </row>
    <row r="273" spans="8:18" x14ac:dyDescent="0.25">
      <c r="H273" s="22">
        <f t="shared" si="41"/>
        <v>2.6699999999999871</v>
      </c>
      <c r="I273" s="15">
        <f t="shared" si="43"/>
        <v>49.869198773731192</v>
      </c>
      <c r="J273">
        <f t="shared" si="49"/>
        <v>49.877700962062875</v>
      </c>
      <c r="K273">
        <f t="shared" si="40"/>
        <v>49.993846057683292</v>
      </c>
      <c r="M273" s="22">
        <f t="shared" si="42"/>
        <v>2.6699999999999871</v>
      </c>
      <c r="N273">
        <f t="shared" si="46"/>
        <v>49.891493370800646</v>
      </c>
      <c r="O273">
        <f t="shared" si="44"/>
        <v>0.10850662919935417</v>
      </c>
      <c r="P273">
        <f t="shared" si="47"/>
        <v>2.906816670983138</v>
      </c>
      <c r="Q273">
        <f t="shared" si="48"/>
        <v>-0.1064611282039607</v>
      </c>
      <c r="R273">
        <f t="shared" si="45"/>
        <v>-6.0285173778009051</v>
      </c>
    </row>
    <row r="274" spans="8:18" x14ac:dyDescent="0.25">
      <c r="H274" s="22">
        <f t="shared" si="41"/>
        <v>2.6799999999999868</v>
      </c>
      <c r="I274" s="15">
        <f t="shared" si="43"/>
        <v>49.872079525399549</v>
      </c>
      <c r="J274">
        <f t="shared" si="49"/>
        <v>49.880424565975588</v>
      </c>
      <c r="K274">
        <f t="shared" si="40"/>
        <v>49.993983106196964</v>
      </c>
      <c r="M274" s="22">
        <f t="shared" si="42"/>
        <v>2.6799999999999868</v>
      </c>
      <c r="N274">
        <f t="shared" si="46"/>
        <v>49.892547638153225</v>
      </c>
      <c r="O274">
        <f t="shared" si="44"/>
        <v>0.10745236184677509</v>
      </c>
      <c r="P274">
        <f t="shared" si="47"/>
        <v>2.9078964659383688</v>
      </c>
      <c r="Q274">
        <f t="shared" si="48"/>
        <v>-0.10542673525790747</v>
      </c>
      <c r="R274">
        <f t="shared" si="45"/>
        <v>-6.0285891208651297</v>
      </c>
    </row>
    <row r="275" spans="8:18" x14ac:dyDescent="0.25">
      <c r="H275" s="22">
        <f t="shared" si="41"/>
        <v>2.6899999999999866</v>
      </c>
      <c r="I275" s="15">
        <f t="shared" si="43"/>
        <v>49.874896831713365</v>
      </c>
      <c r="J275">
        <f t="shared" si="49"/>
        <v>49.883087515132559</v>
      </c>
      <c r="K275">
        <f t="shared" si="40"/>
        <v>49.994117102635371</v>
      </c>
      <c r="M275" s="22">
        <f t="shared" si="42"/>
        <v>2.6899999999999866</v>
      </c>
      <c r="N275">
        <f t="shared" si="46"/>
        <v>49.893591662079587</v>
      </c>
      <c r="O275">
        <f t="shared" si="44"/>
        <v>0.10640833792041349</v>
      </c>
      <c r="P275">
        <f t="shared" si="47"/>
        <v>2.9089657694372049</v>
      </c>
      <c r="Q275">
        <f t="shared" si="48"/>
        <v>-0.10440239263616036</v>
      </c>
      <c r="R275">
        <f t="shared" si="45"/>
        <v>-6.0286601668625135</v>
      </c>
    </row>
    <row r="276" spans="8:18" x14ac:dyDescent="0.25">
      <c r="H276" s="22">
        <f t="shared" si="41"/>
        <v>2.6999999999999864</v>
      </c>
      <c r="I276" s="15">
        <f t="shared" si="43"/>
        <v>49.877652089986071</v>
      </c>
      <c r="J276">
        <f t="shared" si="49"/>
        <v>49.88569116031735</v>
      </c>
      <c r="K276">
        <f t="shared" si="40"/>
        <v>49.994248114968343</v>
      </c>
      <c r="M276" s="22">
        <f t="shared" si="42"/>
        <v>2.6999999999999864</v>
      </c>
      <c r="N276">
        <f t="shared" si="46"/>
        <v>49.894625542106454</v>
      </c>
      <c r="O276">
        <f t="shared" si="44"/>
        <v>0.10537445789354649</v>
      </c>
      <c r="P276">
        <f t="shared" si="47"/>
        <v>2.9100246834162746</v>
      </c>
      <c r="Q276">
        <f t="shared" si="48"/>
        <v>-0.10338800268669956</v>
      </c>
      <c r="R276">
        <f t="shared" si="45"/>
        <v>-6.0287305225659082</v>
      </c>
    </row>
    <row r="277" spans="8:18" x14ac:dyDescent="0.25">
      <c r="H277" s="22">
        <f t="shared" si="41"/>
        <v>2.7099999999999862</v>
      </c>
      <c r="I277" s="15">
        <f t="shared" si="43"/>
        <v>49.880346666756843</v>
      </c>
      <c r="J277">
        <f t="shared" si="49"/>
        <v>49.888236822231534</v>
      </c>
      <c r="K277">
        <f t="shared" ref="K277:K306" si="50">K276+$E$8*DEGREES($E$6*$C$5*$C$6^2*$E$5/(4*$C$7)*$C$8*RADIANS(K276) +$E$6*$C$5*$C$6*$E$5^2/(2*$C$7)*$C$9*$C$18)</f>
        <v>49.99437620965201</v>
      </c>
      <c r="M277" s="22">
        <f t="shared" si="42"/>
        <v>2.7099999999999862</v>
      </c>
      <c r="N277">
        <f t="shared" si="46"/>
        <v>49.895649376793543</v>
      </c>
      <c r="O277">
        <f t="shared" si="44"/>
        <v>0.10435062320645727</v>
      </c>
      <c r="P277">
        <f t="shared" si="47"/>
        <v>2.9110733088217748</v>
      </c>
      <c r="Q277">
        <f t="shared" si="48"/>
        <v>-0.10238346870892201</v>
      </c>
      <c r="R277">
        <f t="shared" si="45"/>
        <v>-6.0288001946822858</v>
      </c>
    </row>
    <row r="278" spans="8:18" x14ac:dyDescent="0.25">
      <c r="H278" s="22">
        <f>H277+$E$8</f>
        <v>2.719999999999986</v>
      </c>
      <c r="I278" s="15">
        <f t="shared" si="43"/>
        <v>49.88298189846833</v>
      </c>
      <c r="J278">
        <f t="shared" si="49"/>
        <v>49.890725792164595</v>
      </c>
      <c r="K278">
        <f t="shared" si="50"/>
        <v>49.994501451662529</v>
      </c>
      <c r="M278" s="22">
        <f>M277+$E$8</f>
        <v>2.719999999999986</v>
      </c>
      <c r="N278">
        <f t="shared" si="46"/>
        <v>49.896663263742937</v>
      </c>
      <c r="O278">
        <f t="shared" si="44"/>
        <v>0.10333673625706297</v>
      </c>
      <c r="P278">
        <f t="shared" si="47"/>
        <v>2.9121117456190926</v>
      </c>
      <c r="Q278">
        <f t="shared" si="48"/>
        <v>-0.10138869493943048</v>
      </c>
      <c r="R278">
        <f t="shared" si="45"/>
        <v>-6.0288691898535225</v>
      </c>
    </row>
    <row r="279" spans="8:18" x14ac:dyDescent="0.25">
      <c r="H279" s="22">
        <f t="shared" ref="H279:H295" si="51">H278+$E$8</f>
        <v>2.7299999999999858</v>
      </c>
      <c r="I279" s="15">
        <f t="shared" si="43"/>
        <v>49.885559092129505</v>
      </c>
      <c r="J279">
        <f t="shared" si="49"/>
        <v>49.893159332648963</v>
      </c>
      <c r="K279">
        <f t="shared" si="50"/>
        <v>49.994623904529035</v>
      </c>
      <c r="M279" s="22">
        <f t="shared" ref="M279:M295" si="52">M278+$E$8</f>
        <v>2.7299999999999858</v>
      </c>
      <c r="N279">
        <f t="shared" si="46"/>
        <v>49.897667299608415</v>
      </c>
      <c r="O279">
        <f t="shared" si="44"/>
        <v>0.10233270039158526</v>
      </c>
      <c r="P279">
        <f t="shared" si="47"/>
        <v>2.9131400928023359</v>
      </c>
      <c r="Q279">
        <f t="shared" si="48"/>
        <v>-0.10040358654777037</v>
      </c>
      <c r="R279">
        <f t="shared" si="45"/>
        <v>-6.0289375146568869</v>
      </c>
    </row>
    <row r="280" spans="8:18" x14ac:dyDescent="0.25">
      <c r="H280" s="22">
        <f t="shared" si="51"/>
        <v>2.7399999999999856</v>
      </c>
      <c r="I280" s="15">
        <f t="shared" si="43"/>
        <v>49.88807952596396</v>
      </c>
      <c r="J280">
        <f t="shared" si="49"/>
        <v>49.895538678100429</v>
      </c>
      <c r="K280">
        <f t="shared" si="50"/>
        <v>49.994743630365861</v>
      </c>
      <c r="M280" s="22">
        <f t="shared" si="52"/>
        <v>2.7399999999999856</v>
      </c>
      <c r="N280">
        <f t="shared" si="46"/>
        <v>49.898661580104644</v>
      </c>
      <c r="O280">
        <f t="shared" si="44"/>
        <v>0.10133841989535597</v>
      </c>
      <c r="P280">
        <f t="shared" si="47"/>
        <v>2.9141584484037706</v>
      </c>
      <c r="Q280">
        <f t="shared" si="48"/>
        <v>-9.9428049622929393E-2</v>
      </c>
      <c r="R280">
        <f t="shared" si="45"/>
        <v>-6.0290051756057945</v>
      </c>
    </row>
    <row r="281" spans="8:18" x14ac:dyDescent="0.25">
      <c r="H281" s="22">
        <f t="shared" si="51"/>
        <v>2.7499999999999853</v>
      </c>
      <c r="I281" s="15">
        <f t="shared" si="43"/>
        <v>49.890544450043798</v>
      </c>
      <c r="J281">
        <f t="shared" si="49"/>
        <v>49.897865035444298</v>
      </c>
      <c r="K281">
        <f t="shared" si="50"/>
        <v>49.994860689904051</v>
      </c>
      <c r="M281" s="22">
        <f t="shared" si="52"/>
        <v>2.7499999999999853</v>
      </c>
      <c r="N281">
        <f t="shared" si="46"/>
        <v>49.899646200016313</v>
      </c>
      <c r="O281">
        <f t="shared" si="44"/>
        <v>0.10035379998368654</v>
      </c>
      <c r="P281">
        <f t="shared" si="47"/>
        <v>2.9151669095031658</v>
      </c>
      <c r="Q281">
        <f t="shared" si="48"/>
        <v>-9.8461991166942653E-2</v>
      </c>
      <c r="R281">
        <f t="shared" si="45"/>
        <v>-6.0290721791503659</v>
      </c>
    </row>
    <row r="282" spans="8:18" x14ac:dyDescent="0.25">
      <c r="H282" s="22">
        <f t="shared" si="51"/>
        <v>2.7599999999999851</v>
      </c>
      <c r="I282" s="15">
        <f t="shared" si="43"/>
        <v>49.892955086909687</v>
      </c>
      <c r="J282">
        <f t="shared" si="49"/>
        <v>49.900139584727604</v>
      </c>
      <c r="K282">
        <f t="shared" si="50"/>
        <v>49.994975142522172</v>
      </c>
      <c r="M282" s="22">
        <f t="shared" si="52"/>
        <v>2.7599999999999851</v>
      </c>
      <c r="N282">
        <f t="shared" si="46"/>
        <v>49.900621253207177</v>
      </c>
      <c r="O282">
        <f t="shared" si="44"/>
        <v>9.9378746792822881E-2</v>
      </c>
      <c r="P282">
        <f t="shared" si="47"/>
        <v>2.9161655722370483</v>
      </c>
      <c r="Q282">
        <f t="shared" si="48"/>
        <v>-9.7505319086366171E-2</v>
      </c>
      <c r="R282">
        <f t="shared" si="45"/>
        <v>-6.0291385316780151</v>
      </c>
    </row>
    <row r="283" spans="8:18" x14ac:dyDescent="0.25">
      <c r="H283" s="22">
        <f t="shared" si="51"/>
        <v>2.7699999999999849</v>
      </c>
      <c r="I283" s="15">
        <f t="shared" si="43"/>
        <v>49.895312632177188</v>
      </c>
      <c r="J283">
        <f t="shared" si="49"/>
        <v>49.902363479717692</v>
      </c>
      <c r="K283">
        <f t="shared" si="50"/>
        <v>49.995087046276431</v>
      </c>
      <c r="M283" s="22">
        <f t="shared" si="52"/>
        <v>2.7699999999999849</v>
      </c>
      <c r="N283">
        <f t="shared" si="46"/>
        <v>49.901586832628979</v>
      </c>
      <c r="O283">
        <f t="shared" si="44"/>
        <v>9.8413167371020904E-2</v>
      </c>
      <c r="P283">
        <f t="shared" si="47"/>
        <v>2.9171545318078675</v>
      </c>
      <c r="Q283">
        <f t="shared" si="48"/>
        <v>-9.6557942180197642E-2</v>
      </c>
      <c r="R283">
        <f t="shared" si="45"/>
        <v>-6.0292042395141729</v>
      </c>
    </row>
    <row r="284" spans="8:18" x14ac:dyDescent="0.25">
      <c r="H284" s="22">
        <f t="shared" si="51"/>
        <v>2.7799999999999847</v>
      </c>
      <c r="I284" s="15">
        <f t="shared" si="43"/>
        <v>49.897618255129771</v>
      </c>
      <c r="J284">
        <f t="shared" si="49"/>
        <v>49.904537848487472</v>
      </c>
      <c r="K284">
        <f t="shared" si="50"/>
        <v>49.995196457930113</v>
      </c>
      <c r="M284" s="22">
        <f t="shared" si="52"/>
        <v>2.7799999999999847</v>
      </c>
      <c r="N284">
        <f t="shared" si="46"/>
        <v>49.902543030330349</v>
      </c>
      <c r="O284">
        <f t="shared" si="44"/>
        <v>9.7456969669650562E-2</v>
      </c>
      <c r="P284">
        <f t="shared" si="47"/>
        <v>2.9181338824930707</v>
      </c>
      <c r="Q284">
        <f t="shared" si="48"/>
        <v>-9.5619770137034266E-2</v>
      </c>
      <c r="R284">
        <f t="shared" si="45"/>
        <v>-6.0292693089227019</v>
      </c>
    </row>
    <row r="285" spans="8:18" x14ac:dyDescent="0.25">
      <c r="H285" s="22">
        <f t="shared" si="51"/>
        <v>2.7899999999999845</v>
      </c>
      <c r="I285" s="15">
        <f t="shared" si="43"/>
        <v>49.899873099298716</v>
      </c>
      <c r="J285">
        <f t="shared" si="49"/>
        <v>49.906663793987626</v>
      </c>
      <c r="K285">
        <f t="shared" si="50"/>
        <v>49.995303432982389</v>
      </c>
      <c r="M285" s="22">
        <f t="shared" si="52"/>
        <v>2.7899999999999845</v>
      </c>
      <c r="N285">
        <f t="shared" si="46"/>
        <v>49.903489937465537</v>
      </c>
      <c r="O285">
        <f t="shared" si="44"/>
        <v>9.6510062534463259E-2</v>
      </c>
      <c r="P285">
        <f t="shared" si="47"/>
        <v>2.9191037176540915</v>
      </c>
      <c r="Q285">
        <f t="shared" si="48"/>
        <v>-9.4690713518730263E-2</v>
      </c>
      <c r="R285">
        <f t="shared" si="45"/>
        <v>-6.0293337461067349</v>
      </c>
    </row>
    <row r="286" spans="8:18" x14ac:dyDescent="0.25">
      <c r="H286" s="22">
        <f t="shared" si="51"/>
        <v>2.7999999999999843</v>
      </c>
      <c r="I286" s="15">
        <f t="shared" si="43"/>
        <v>49.902078283030328</v>
      </c>
      <c r="J286">
        <f t="shared" si="49"/>
        <v>49.908742394606087</v>
      </c>
      <c r="K286">
        <f t="shared" si="50"/>
        <v>49.995408025696456</v>
      </c>
      <c r="M286" s="22">
        <f t="shared" si="52"/>
        <v>2.7999999999999843</v>
      </c>
      <c r="N286">
        <f t="shared" si="46"/>
        <v>49.904427644303148</v>
      </c>
      <c r="O286">
        <f t="shared" si="44"/>
        <v>9.5572355696852185E-2</v>
      </c>
      <c r="P286">
        <f t="shared" si="47"/>
        <v>2.9200641297452479</v>
      </c>
      <c r="Q286">
        <f t="shared" si="48"/>
        <v>-9.3770683761107421E-2</v>
      </c>
      <c r="R286">
        <f t="shared" si="45"/>
        <v>-6.029397557208978</v>
      </c>
    </row>
    <row r="287" spans="8:18" x14ac:dyDescent="0.25">
      <c r="H287" s="22">
        <f t="shared" si="51"/>
        <v>2.8099999999999841</v>
      </c>
      <c r="I287" s="15">
        <f t="shared" si="43"/>
        <v>49.904234900040535</v>
      </c>
      <c r="J287">
        <f t="shared" si="49"/>
        <v>49.910774704715045</v>
      </c>
      <c r="K287">
        <f t="shared" si="50"/>
        <v>49.995510289127068</v>
      </c>
      <c r="M287" s="22">
        <f t="shared" si="52"/>
        <v>2.8099999999999841</v>
      </c>
      <c r="N287">
        <f t="shared" si="46"/>
        <v>49.905356240234696</v>
      </c>
      <c r="O287">
        <f t="shared" si="44"/>
        <v>9.464375976530448E-2</v>
      </c>
      <c r="P287">
        <f t="shared" si="47"/>
        <v>2.9210152103225586</v>
      </c>
      <c r="Q287">
        <f t="shared" si="48"/>
        <v>-9.2859593154770437E-2</v>
      </c>
      <c r="R287">
        <f t="shared" si="45"/>
        <v>-6.0294607483126308</v>
      </c>
    </row>
    <row r="288" spans="8:18" x14ac:dyDescent="0.25">
      <c r="H288" s="22">
        <f t="shared" si="51"/>
        <v>2.8199999999999839</v>
      </c>
      <c r="I288" s="15">
        <f t="shared" si="43"/>
        <v>49.906344019957437</v>
      </c>
      <c r="J288">
        <f t="shared" si="49"/>
        <v>49.912761755205793</v>
      </c>
      <c r="K288">
        <f t="shared" si="50"/>
        <v>49.995610275147456</v>
      </c>
      <c r="M288" s="22">
        <f t="shared" si="52"/>
        <v>2.8199999999999839</v>
      </c>
      <c r="N288">
        <f t="shared" si="46"/>
        <v>49.906275813783175</v>
      </c>
      <c r="O288">
        <f t="shared" si="44"/>
        <v>9.372418621682499E-2</v>
      </c>
      <c r="P288">
        <f t="shared" si="47"/>
        <v>2.9219570500524692</v>
      </c>
      <c r="Q288">
        <f t="shared" si="48"/>
        <v>-9.1957354847949091E-2</v>
      </c>
      <c r="R288">
        <f t="shared" si="45"/>
        <v>-6.0295233254416294</v>
      </c>
    </row>
    <row r="289" spans="8:18" x14ac:dyDescent="0.25">
      <c r="H289" s="22">
        <f t="shared" si="51"/>
        <v>2.8299999999999836</v>
      </c>
      <c r="I289" s="15">
        <f t="shared" si="43"/>
        <v>49.90840668885172</v>
      </c>
      <c r="J289">
        <f t="shared" si="49"/>
        <v>49.914704554011635</v>
      </c>
      <c r="K289">
        <f t="shared" si="50"/>
        <v>49.995708034475619</v>
      </c>
      <c r="M289" s="22">
        <f t="shared" si="52"/>
        <v>2.8299999999999836</v>
      </c>
      <c r="N289">
        <f t="shared" si="46"/>
        <v>49.907186452611462</v>
      </c>
      <c r="O289">
        <f t="shared" si="44"/>
        <v>9.2813547388537643E-2</v>
      </c>
      <c r="P289">
        <f t="shared" si="47"/>
        <v>2.922889738720496</v>
      </c>
      <c r="Q289">
        <f t="shared" si="48"/>
        <v>-9.1063882828734677E-2</v>
      </c>
      <c r="R289">
        <f t="shared" si="45"/>
        <v>-6.0295852945614925</v>
      </c>
    </row>
    <row r="290" spans="8:18" x14ac:dyDescent="0.25">
      <c r="H290" s="22">
        <f t="shared" si="51"/>
        <v>2.8399999999999834</v>
      </c>
      <c r="I290" s="15">
        <f t="shared" si="43"/>
        <v>49.910423929755552</v>
      </c>
      <c r="J290">
        <f t="shared" si="49"/>
        <v>49.916604086619159</v>
      </c>
      <c r="K290">
        <f t="shared" si="50"/>
        <v>49.99580361670008</v>
      </c>
      <c r="M290" s="22">
        <f t="shared" si="52"/>
        <v>2.8399999999999834</v>
      </c>
      <c r="N290">
        <f t="shared" si="46"/>
        <v>49.908088243530699</v>
      </c>
      <c r="O290">
        <f t="shared" si="44"/>
        <v>9.1911756469301054E-2</v>
      </c>
      <c r="P290">
        <f t="shared" si="47"/>
        <v>2.9238133652397851</v>
      </c>
      <c r="Q290">
        <f t="shared" si="48"/>
        <v>-9.0179091923658916E-2</v>
      </c>
      <c r="R290">
        <f t="shared" si="45"/>
        <v>-6.0296466615796991</v>
      </c>
    </row>
    <row r="291" spans="8:18" x14ac:dyDescent="0.25">
      <c r="H291" s="22">
        <f t="shared" si="51"/>
        <v>2.8499999999999832</v>
      </c>
      <c r="I291" s="15">
        <f t="shared" si="43"/>
        <v>49.912396743169936</v>
      </c>
      <c r="J291">
        <f t="shared" si="49"/>
        <v>49.918461316568141</v>
      </c>
      <c r="K291">
        <f t="shared" si="50"/>
        <v>49.995897070305013</v>
      </c>
      <c r="M291" s="22">
        <f t="shared" si="52"/>
        <v>2.8499999999999832</v>
      </c>
      <c r="N291">
        <f t="shared" si="46"/>
        <v>49.908981272508555</v>
      </c>
      <c r="O291">
        <f t="shared" si="44"/>
        <v>9.1018727491444906E-2</v>
      </c>
      <c r="P291">
        <f t="shared" si="47"/>
        <v>2.9247280176595889</v>
      </c>
      <c r="Q291">
        <f t="shared" si="48"/>
        <v>-8.9302897785614732E-2</v>
      </c>
      <c r="R291">
        <f t="shared" si="45"/>
        <v>-6.0297074323463553</v>
      </c>
    </row>
    <row r="292" spans="8:18" x14ac:dyDescent="0.25">
      <c r="H292" s="22">
        <f t="shared" si="51"/>
        <v>2.859999999999983</v>
      </c>
      <c r="I292" s="15">
        <f t="shared" si="43"/>
        <v>49.914326107560974</v>
      </c>
      <c r="J292">
        <f t="shared" si="49"/>
        <v>49.920277185940286</v>
      </c>
      <c r="K292">
        <f t="shared" si="50"/>
        <v>49.995988442694845</v>
      </c>
      <c r="M292" s="22">
        <f t="shared" si="52"/>
        <v>2.859999999999983</v>
      </c>
      <c r="N292">
        <f t="shared" si="46"/>
        <v>49.909865624677408</v>
      </c>
      <c r="O292">
        <f t="shared" si="44"/>
        <v>9.0134375322591609E-2</v>
      </c>
      <c r="P292">
        <f t="shared" si="47"/>
        <v>2.9256337831736592</v>
      </c>
      <c r="Q292">
        <f t="shared" si="48"/>
        <v>-8.8435216885329737E-2</v>
      </c>
      <c r="R292">
        <f t="shared" si="45"/>
        <v>-6.029767612654795</v>
      </c>
    </row>
    <row r="293" spans="8:18" x14ac:dyDescent="0.25">
      <c r="H293" s="22">
        <f t="shared" si="51"/>
        <v>2.8699999999999828</v>
      </c>
      <c r="I293" s="15">
        <f t="shared" si="43"/>
        <v>49.916212979845113</v>
      </c>
      <c r="J293">
        <f t="shared" si="49"/>
        <v>49.922052615837103</v>
      </c>
      <c r="K293">
        <f t="shared" si="50"/>
        <v>49.996077780218315</v>
      </c>
      <c r="M293" s="22">
        <f t="shared" si="52"/>
        <v>2.8699999999999828</v>
      </c>
      <c r="N293">
        <f t="shared" si="46"/>
        <v>49.910741384342501</v>
      </c>
      <c r="O293">
        <f t="shared" si="44"/>
        <v>8.9258615657499263E-2</v>
      </c>
      <c r="P293">
        <f t="shared" si="47"/>
        <v>2.9265307481285596</v>
      </c>
      <c r="Q293">
        <f t="shared" si="48"/>
        <v>-8.7575966509234604E-2</v>
      </c>
      <c r="R293">
        <f t="shared" si="45"/>
        <v>-6.0298272082419331</v>
      </c>
    </row>
    <row r="294" spans="8:18" x14ac:dyDescent="0.25">
      <c r="H294" s="22">
        <f t="shared" si="51"/>
        <v>2.8799999999999826</v>
      </c>
      <c r="I294" s="15">
        <f t="shared" si="43"/>
        <v>49.918058295863794</v>
      </c>
      <c r="J294">
        <f t="shared" si="49"/>
        <v>49.923788506847146</v>
      </c>
      <c r="K294">
        <f t="shared" si="50"/>
        <v>49.996165128191969</v>
      </c>
      <c r="M294" s="22">
        <f t="shared" si="52"/>
        <v>2.8799999999999826</v>
      </c>
      <c r="N294">
        <f t="shared" si="46"/>
        <v>49.911608634989939</v>
      </c>
      <c r="O294">
        <f t="shared" si="44"/>
        <v>8.8391365010060952E-2</v>
      </c>
      <c r="P294">
        <f t="shared" si="47"/>
        <v>2.9274189980318974</v>
      </c>
      <c r="Q294">
        <f t="shared" si="48"/>
        <v>-8.6725064743831126E-2</v>
      </c>
      <c r="R294">
        <f t="shared" si="45"/>
        <v>-6.0298862247890401</v>
      </c>
    </row>
    <row r="295" spans="8:18" x14ac:dyDescent="0.25">
      <c r="H295" s="22">
        <f t="shared" si="51"/>
        <v>2.8899999999999824</v>
      </c>
      <c r="I295" s="15">
        <f t="shared" si="43"/>
        <v>49.919862970847596</v>
      </c>
      <c r="J295">
        <f t="shared" si="49"/>
        <v>49.925485739502825</v>
      </c>
      <c r="K295">
        <f t="shared" si="50"/>
        <v>49.996250530923156</v>
      </c>
      <c r="M295" s="22">
        <f t="shared" si="52"/>
        <v>2.8899999999999824</v>
      </c>
      <c r="N295">
        <f t="shared" si="46"/>
        <v>49.912467459294668</v>
      </c>
      <c r="O295">
        <f t="shared" si="44"/>
        <v>8.7532540705332451E-2</v>
      </c>
      <c r="P295">
        <f t="shared" si="47"/>
        <v>2.9282986175604746</v>
      </c>
      <c r="Q295">
        <f t="shared" si="48"/>
        <v>-8.5882430472850046E-2</v>
      </c>
      <c r="R295">
        <f t="shared" si="45"/>
        <v>-6.0299446679221571</v>
      </c>
    </row>
    <row r="296" spans="8:18" x14ac:dyDescent="0.25">
      <c r="H296" s="22">
        <f>H295+$E$8</f>
        <v>2.8999999999999821</v>
      </c>
      <c r="I296" s="15">
        <f t="shared" si="43"/>
        <v>49.921627899870153</v>
      </c>
      <c r="J296">
        <f t="shared" si="49"/>
        <v>49.927145174727059</v>
      </c>
      <c r="K296">
        <f t="shared" si="50"/>
        <v>49.996334031732488</v>
      </c>
      <c r="M296" s="22">
        <f>M295+$E$8</f>
        <v>2.8999999999999821</v>
      </c>
      <c r="N296">
        <f t="shared" si="46"/>
        <v>49.913317939128341</v>
      </c>
      <c r="O296">
        <f t="shared" si="44"/>
        <v>8.6682060871659417E-2</v>
      </c>
      <c r="P296">
        <f t="shared" si="47"/>
        <v>2.9291696905683597</v>
      </c>
      <c r="Q296">
        <f t="shared" si="48"/>
        <v>-8.5047983367303459E-2</v>
      </c>
      <c r="R296">
        <f t="shared" si="45"/>
        <v>-6.0300025432126922</v>
      </c>
    </row>
    <row r="297" spans="8:18" x14ac:dyDescent="0.25">
      <c r="H297" s="22">
        <f t="shared" ref="H297:H308" si="53">H296+$E$8</f>
        <v>2.9099999999999819</v>
      </c>
      <c r="I297" s="15">
        <f t="shared" si="43"/>
        <v>49.92335395829209</v>
      </c>
      <c r="J297">
        <f t="shared" si="49"/>
        <v>49.92876765426999</v>
      </c>
      <c r="K297">
        <f t="shared" si="50"/>
        <v>49.996415672975836</v>
      </c>
      <c r="M297" s="22">
        <f t="shared" ref="M297:M308" si="54">M296+$E$8</f>
        <v>2.9099999999999819</v>
      </c>
      <c r="N297">
        <f t="shared" si="46"/>
        <v>49.914160155567153</v>
      </c>
      <c r="O297">
        <f t="shared" si="44"/>
        <v>8.5839844432847201E-2</v>
      </c>
      <c r="P297">
        <f t="shared" si="47"/>
        <v>2.9300323000948825</v>
      </c>
      <c r="Q297">
        <f t="shared" si="48"/>
        <v>-8.4221643881221553E-2</v>
      </c>
      <c r="R297">
        <f t="shared" si="45"/>
        <v>-6.0300598561778349</v>
      </c>
    </row>
    <row r="298" spans="8:18" x14ac:dyDescent="0.25">
      <c r="H298" s="22">
        <f t="shared" si="53"/>
        <v>2.9199999999999817</v>
      </c>
      <c r="I298" s="15">
        <f t="shared" si="43"/>
        <v>49.925042002195198</v>
      </c>
      <c r="J298">
        <f t="shared" si="49"/>
        <v>49.930354001135953</v>
      </c>
      <c r="K298">
        <f t="shared" si="50"/>
        <v>49.996495496065798</v>
      </c>
      <c r="M298" s="22">
        <f t="shared" si="54"/>
        <v>2.9199999999999817</v>
      </c>
      <c r="N298">
        <f t="shared" si="46"/>
        <v>49.914994188899534</v>
      </c>
      <c r="O298">
        <f t="shared" si="44"/>
        <v>8.5005811100465678E-2</v>
      </c>
      <c r="P298">
        <f t="shared" si="47"/>
        <v>2.9308865283725489</v>
      </c>
      <c r="Q298">
        <f t="shared" si="48"/>
        <v>-8.34033332381523E-2</v>
      </c>
      <c r="R298">
        <f t="shared" si="45"/>
        <v>-6.0301166122812662</v>
      </c>
    </row>
    <row r="299" spans="8:18" x14ac:dyDescent="0.25">
      <c r="H299" s="22">
        <f t="shared" si="53"/>
        <v>2.9299999999999815</v>
      </c>
      <c r="I299" s="15">
        <f t="shared" si="43"/>
        <v>49.926692868807024</v>
      </c>
      <c r="J299">
        <f t="shared" si="49"/>
        <v>49.931905020000947</v>
      </c>
      <c r="K299">
        <f t="shared" si="50"/>
        <v>49.996573541492715</v>
      </c>
      <c r="M299" s="22">
        <f t="shared" si="54"/>
        <v>2.9299999999999815</v>
      </c>
      <c r="N299">
        <f t="shared" si="46"/>
        <v>49.915820118633818</v>
      </c>
      <c r="O299">
        <f t="shared" si="44"/>
        <v>8.4179881366182485E-2</v>
      </c>
      <c r="P299">
        <f t="shared" si="47"/>
        <v>2.9317324568348822</v>
      </c>
      <c r="Q299">
        <f t="shared" si="48"/>
        <v>-8.2592973428319283E-2</v>
      </c>
      <c r="R299">
        <f t="shared" si="45"/>
        <v>-6.0301728169335629</v>
      </c>
    </row>
    <row r="300" spans="8:18" x14ac:dyDescent="0.25">
      <c r="H300" s="22">
        <f t="shared" si="53"/>
        <v>2.9399999999999813</v>
      </c>
      <c r="I300" s="15">
        <f t="shared" si="43"/>
        <v>49.928307376916095</v>
      </c>
      <c r="J300">
        <f t="shared" si="49"/>
        <v>49.933421497620806</v>
      </c>
      <c r="K300">
        <f t="shared" si="50"/>
        <v>49.996649848845209</v>
      </c>
      <c r="M300" s="22">
        <f t="shared" si="54"/>
        <v>2.9399999999999813</v>
      </c>
      <c r="N300">
        <f t="shared" si="46"/>
        <v>49.91663802350584</v>
      </c>
      <c r="O300">
        <f t="shared" si="44"/>
        <v>8.3361976494160217E-2</v>
      </c>
      <c r="P300">
        <f t="shared" si="47"/>
        <v>2.9325701661241839</v>
      </c>
      <c r="Q300">
        <f t="shared" si="48"/>
        <v>-8.1790487202226814E-2</v>
      </c>
      <c r="R300">
        <f t="shared" si="45"/>
        <v>-6.0302284754926436</v>
      </c>
    </row>
    <row r="301" spans="8:18" x14ac:dyDescent="0.25">
      <c r="H301" s="22">
        <f t="shared" si="53"/>
        <v>2.9499999999999811</v>
      </c>
      <c r="I301" s="15">
        <f t="shared" si="43"/>
        <v>49.929886327278012</v>
      </c>
      <c r="J301">
        <f t="shared" si="49"/>
        <v>49.934904203230282</v>
      </c>
      <c r="K301">
        <f t="shared" si="50"/>
        <v>49.99672445683025</v>
      </c>
      <c r="M301" s="22">
        <f t="shared" si="54"/>
        <v>2.9499999999999811</v>
      </c>
      <c r="N301">
        <f t="shared" si="46"/>
        <v>49.917447981486404</v>
      </c>
      <c r="O301">
        <f t="shared" si="44"/>
        <v>8.2552018513595726E-2</v>
      </c>
      <c r="P301">
        <f t="shared" si="47"/>
        <v>2.9333997360992226</v>
      </c>
      <c r="Q301">
        <f t="shared" si="48"/>
        <v>-8.0995798056449075E-2</v>
      </c>
      <c r="R301">
        <f t="shared" si="45"/>
        <v>-6.0302835932645076</v>
      </c>
    </row>
    <row r="302" spans="8:18" x14ac:dyDescent="0.25">
      <c r="H302" s="22">
        <f t="shared" si="53"/>
        <v>2.9599999999999809</v>
      </c>
      <c r="I302" s="15">
        <f t="shared" si="43"/>
        <v>49.93143050301267</v>
      </c>
      <c r="J302">
        <f t="shared" si="49"/>
        <v>49.93635388893324</v>
      </c>
      <c r="K302">
        <f t="shared" si="50"/>
        <v>49.996797403292824</v>
      </c>
      <c r="M302" s="22">
        <f t="shared" si="54"/>
        <v>2.9599999999999809</v>
      </c>
      <c r="N302">
        <f t="shared" si="46"/>
        <v>49.918250069788762</v>
      </c>
      <c r="O302">
        <f t="shared" si="44"/>
        <v>8.1749930211238109E-2</v>
      </c>
      <c r="P302">
        <f t="shared" si="47"/>
        <v>2.9342212458428469</v>
      </c>
      <c r="Q302">
        <f t="shared" si="48"/>
        <v>-8.0208830235761752E-2</v>
      </c>
      <c r="R302">
        <f t="shared" si="45"/>
        <v>-6.0303381755034549</v>
      </c>
    </row>
    <row r="303" spans="8:18" x14ac:dyDescent="0.25">
      <c r="H303" s="22">
        <f t="shared" si="53"/>
        <v>2.9699999999999807</v>
      </c>
      <c r="I303" s="15">
        <f t="shared" si="43"/>
        <v>49.932940669992597</v>
      </c>
      <c r="J303">
        <f t="shared" si="49"/>
        <v>49.937771290084179</v>
      </c>
      <c r="K303">
        <f t="shared" si="50"/>
        <v>49.996868725235089</v>
      </c>
      <c r="M303" s="22">
        <f t="shared" si="54"/>
        <v>2.9699999999999807</v>
      </c>
      <c r="N303">
        <f t="shared" si="46"/>
        <v>49.919044364875923</v>
      </c>
      <c r="O303">
        <f t="shared" si="44"/>
        <v>8.0955635124077219E-2</v>
      </c>
      <c r="P303">
        <f t="shared" si="47"/>
        <v>2.9350347736695235</v>
      </c>
      <c r="Q303">
        <f t="shared" si="48"/>
        <v>-7.9429508716089003E-2</v>
      </c>
      <c r="R303">
        <f t="shared" si="45"/>
        <v>-6.0303922274128796</v>
      </c>
    </row>
    <row r="304" spans="8:18" x14ac:dyDescent="0.25">
      <c r="H304" s="22">
        <f t="shared" si="53"/>
        <v>2.9799999999999804</v>
      </c>
      <c r="I304" s="15">
        <f t="shared" si="43"/>
        <v>49.93441757722281</v>
      </c>
      <c r="J304">
        <f t="shared" si="49"/>
        <v>49.939157125661211</v>
      </c>
      <c r="K304">
        <f t="shared" si="50"/>
        <v>49.996938458835167</v>
      </c>
      <c r="M304" s="22">
        <f t="shared" si="54"/>
        <v>2.9799999999999804</v>
      </c>
      <c r="N304">
        <f t="shared" si="46"/>
        <v>49.919830942467989</v>
      </c>
      <c r="O304">
        <f t="shared" si="44"/>
        <v>8.0169057532010868E-2</v>
      </c>
      <c r="P304">
        <f t="shared" si="47"/>
        <v>2.9358403971328038</v>
      </c>
      <c r="Q304">
        <f t="shared" si="48"/>
        <v>-7.8657759206635092E-2</v>
      </c>
      <c r="R304">
        <f t="shared" si="45"/>
        <v>-6.0304457541454966</v>
      </c>
    </row>
    <row r="305" spans="8:18" x14ac:dyDescent="0.25">
      <c r="H305" s="22">
        <f t="shared" si="53"/>
        <v>2.9899999999999802</v>
      </c>
      <c r="I305" s="15">
        <f t="shared" si="43"/>
        <v>49.935861957212353</v>
      </c>
      <c r="J305">
        <f t="shared" si="49"/>
        <v>49.940512098630784</v>
      </c>
      <c r="K305">
        <f t="shared" si="50"/>
        <v>49.997006639465496</v>
      </c>
      <c r="M305" s="22">
        <f t="shared" si="54"/>
        <v>2.9899999999999802</v>
      </c>
      <c r="N305">
        <f t="shared" si="46"/>
        <v>49.920609877549346</v>
      </c>
      <c r="O305">
        <f t="shared" si="44"/>
        <v>7.9390122450654133E-2</v>
      </c>
      <c r="P305">
        <f t="shared" si="47"/>
        <v>2.9366381930327172</v>
      </c>
      <c r="Q305">
        <f t="shared" si="48"/>
        <v>-7.7893508135673528E-2</v>
      </c>
      <c r="R305">
        <f t="shared" si="45"/>
        <v>-6.0304987608040292</v>
      </c>
    </row>
    <row r="306" spans="8:18" x14ac:dyDescent="0.25">
      <c r="H306" s="22">
        <f t="shared" si="53"/>
        <v>2.99999999999998</v>
      </c>
      <c r="I306" s="15">
        <f t="shared" si="43"/>
        <v>49.937274526337553</v>
      </c>
      <c r="J306">
        <f t="shared" si="49"/>
        <v>49.941836896304267</v>
      </c>
      <c r="K306">
        <f t="shared" si="50"/>
        <v>49.99707330171077</v>
      </c>
      <c r="M306" s="22">
        <f t="shared" si="54"/>
        <v>2.99999999999998</v>
      </c>
      <c r="N306">
        <f t="shared" si="46"/>
        <v>49.921381244375823</v>
      </c>
      <c r="O306">
        <f t="shared" si="44"/>
        <v>7.8618755624177084E-2</v>
      </c>
      <c r="P306">
        <f>P305+(O306+O305)*$E$8/2</f>
        <v>2.9374282374230916</v>
      </c>
      <c r="Q306">
        <f t="shared" si="48"/>
        <v>-7.7136682647704902E-2</v>
      </c>
      <c r="R306">
        <f>$C$34*O306+$C$35*P306+$C$36*Q306</f>
        <v>-6.0305512524415832</v>
      </c>
    </row>
  </sheetData>
  <mergeCells count="16">
    <mergeCell ref="M2:R3"/>
    <mergeCell ref="B31:C32"/>
    <mergeCell ref="M4:M5"/>
    <mergeCell ref="N4:N5"/>
    <mergeCell ref="O4:O5"/>
    <mergeCell ref="P4:P5"/>
    <mergeCell ref="Q4:Q5"/>
    <mergeCell ref="R4:R5"/>
    <mergeCell ref="B3:E4"/>
    <mergeCell ref="B16:E17"/>
    <mergeCell ref="T3:AD4"/>
    <mergeCell ref="H2:K3"/>
    <mergeCell ref="H4:H5"/>
    <mergeCell ref="I4:I5"/>
    <mergeCell ref="J4:J5"/>
    <mergeCell ref="K4:K5"/>
  </mergeCells>
  <pageMargins left="0.7" right="0.7" top="0.75" bottom="0.75" header="0.3" footer="0.3"/>
  <ignoredErrors>
    <ignoredError sqref="I6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Jeremiah Goates</dc:creator>
  <cp:lastModifiedBy>Jeremiah Goates</cp:lastModifiedBy>
  <dcterms:created xsi:type="dcterms:W3CDTF">2026-02-13T16:53:54Z</dcterms:created>
  <dcterms:modified xsi:type="dcterms:W3CDTF">2026-02-13T18:57:43Z</dcterms:modified>
</cp:coreProperties>
</file>